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s &amp; Base Shear" sheetId="2" state="visible" r:id="rId2"/>
    <sheet xmlns:r="http://schemas.openxmlformats.org/officeDocument/2006/relationships" name="Imported ASCE" sheetId="3" state="visible" r:id="rId3"/>
    <sheet xmlns:r="http://schemas.openxmlformats.org/officeDocument/2006/relationships" name="Review Notes" sheetId="4" state="visible" r:id="rId4"/>
    <sheet xmlns:r="http://schemas.openxmlformats.org/officeDocument/2006/relationships" name="Table 12.2-1" sheetId="5" state="visible" r:id="rId5"/>
    <sheet xmlns:r="http://schemas.openxmlformats.org/officeDocument/2006/relationships" name="Code Tables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"/>
    <numFmt numFmtId="166" formatCode="#,##0.0"/>
  </numFmts>
  <fonts count="10">
    <font>
      <name val="Calibri"/>
      <family val="2"/>
      <color theme="1"/>
      <sz val="11"/>
      <scheme val="minor"/>
    </font>
    <font>
      <b val="1"/>
      <color rgb="00FFFFFF"/>
    </font>
    <font>
      <i val="1"/>
      <color rgb="00697B88"/>
    </font>
    <font>
      <b val="1"/>
      <color rgb="00FFFFFF"/>
      <sz val="16"/>
    </font>
    <font>
      <b val="1"/>
    </font>
    <font>
      <b val="1"/>
      <color rgb="00A65624"/>
    </font>
    <font>
      <b val="1"/>
      <color rgb="00184DB5"/>
    </font>
    <font>
      <b val="1"/>
      <color rgb="0021704D"/>
    </font>
    <font>
      <b val="1"/>
      <color rgb="00152942"/>
    </font>
    <font>
      <b val="1"/>
      <color rgb="00152942"/>
      <sz val="12"/>
    </font>
  </fonts>
  <fills count="5">
    <fill>
      <patternFill/>
    </fill>
    <fill>
      <patternFill patternType="gray125"/>
    </fill>
    <fill>
      <patternFill patternType="solid">
        <fgColor rgb="00152942"/>
      </patternFill>
    </fill>
    <fill>
      <patternFill patternType="solid">
        <fgColor rgb="00EBF3FF"/>
      </patternFill>
    </fill>
    <fill>
      <patternFill patternType="solid">
        <fgColor rgb="00DDEF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2" borderId="0" applyAlignment="1" pivotButton="0" quotePrefix="0" xfId="0">
      <alignment vertical="center" indent="1"/>
    </xf>
    <xf numFmtId="0" fontId="1" fillId="2" borderId="0" applyAlignment="1" pivotButton="0" quotePrefix="0" xfId="0">
      <alignment vertical="center" wrapText="1"/>
    </xf>
    <xf numFmtId="0" fontId="7" fillId="0" borderId="0" pivotButton="0" quotePrefix="0" xfId="0"/>
    <xf numFmtId="0" fontId="6" fillId="3" borderId="0" pivotButton="0" quotePrefix="0" xfId="0"/>
    <xf numFmtId="49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8" fillId="0" borderId="0" pivotButton="0" quotePrefix="0" xfId="0"/>
    <xf numFmtId="165" fontId="9" fillId="4" borderId="0" pivotButton="0" quotePrefix="0" xfId="0"/>
    <xf numFmtId="166" fontId="9" fillId="4" borderId="0" pivotButton="0" quotePrefix="0" xfId="0"/>
    <xf numFmtId="3" fontId="9" fillId="4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46" customWidth="1" min="4" max="4"/>
  </cols>
  <sheetData>
    <row r="1">
      <c r="A1" s="1" t="inlineStr">
        <is>
          <t>B&amp;P  |  ASCE 7-22 SEISMIC ELF INPUTS (PRELIMINARY)</t>
        </is>
      </c>
    </row>
    <row r="2"/>
    <row r="4">
      <c r="A4" s="2" t="inlineStr">
        <is>
          <t>PARAMETER</t>
        </is>
      </c>
      <c r="B4" s="2" t="inlineStr">
        <is>
          <t>VALUE</t>
        </is>
      </c>
      <c r="C4" s="2" t="inlineStr">
        <is>
          <t>UNITS</t>
        </is>
      </c>
      <c r="D4" s="2" t="inlineStr">
        <is>
          <t>SOURCE / NOTE</t>
        </is>
      </c>
    </row>
    <row r="5">
      <c r="A5" t="inlineStr">
        <is>
          <t>Project number</t>
        </is>
      </c>
      <c r="B5" t="inlineStr">
        <is>
          <t>HACKATHON-001</t>
        </is>
      </c>
      <c r="C5" t="inlineStr"/>
      <c r="D5" t="inlineStr">
        <is>
          <t>User or Part 1</t>
        </is>
      </c>
    </row>
    <row r="6">
      <c r="A6" t="inlineStr">
        <is>
          <t>ASCE 7 edition</t>
        </is>
      </c>
      <c r="B6" t="inlineStr">
        <is>
          <t>7-22</t>
        </is>
      </c>
      <c r="C6" t="inlineStr"/>
      <c r="D6" t="inlineStr">
        <is>
          <t>Part 3 supports ASCE 7-22 only</t>
        </is>
      </c>
    </row>
    <row r="7">
      <c r="A7" t="inlineStr">
        <is>
          <t>Hazard data status</t>
        </is>
      </c>
      <c r="B7" t="inlineStr">
        <is>
          <t>SYNTHETIC_DEMO</t>
        </is>
      </c>
      <c r="C7" t="inlineStr"/>
      <c r="D7" t="inlineStr">
        <is>
          <t>API retrieval is not verification</t>
        </is>
      </c>
    </row>
    <row r="8">
      <c r="A8" t="inlineStr">
        <is>
          <t>Engineer reviewed input?</t>
        </is>
      </c>
      <c r="B8" t="inlineStr">
        <is>
          <t>NO</t>
        </is>
      </c>
      <c r="C8" t="inlineStr"/>
      <c r="D8" t="inlineStr">
        <is>
          <t>Explicit confirmation</t>
        </is>
      </c>
    </row>
    <row r="9">
      <c r="A9" t="inlineStr">
        <is>
          <t>SDS</t>
        </is>
      </c>
      <c r="B9" s="3">
        <f>'Imported ASCE'!B19</f>
        <v>0.85</v>
      </c>
      <c r="C9" t="inlineStr">
        <is>
          <t>g</t>
        </is>
      </c>
      <c r="D9" t="inlineStr">
        <is>
          <t>Linked to Imported ASCE (green)</t>
        </is>
      </c>
    </row>
    <row r="10">
      <c r="A10" t="inlineStr">
        <is>
          <t>SD1</t>
        </is>
      </c>
      <c r="B10" s="3">
        <f>'Imported ASCE'!B20</f>
        <v>0.55</v>
      </c>
      <c r="C10" t="inlineStr">
        <is>
          <t>g</t>
        </is>
      </c>
      <c r="D10" t="inlineStr">
        <is>
          <t>Linked to Imported ASCE (green)</t>
        </is>
      </c>
    </row>
    <row r="11">
      <c r="A11" t="inlineStr">
        <is>
          <t>S1</t>
        </is>
      </c>
      <c r="B11" s="3">
        <f>'Imported ASCE'!B18</f>
        <v>0.45</v>
      </c>
      <c r="C11" t="inlineStr">
        <is>
          <t>g</t>
        </is>
      </c>
      <c r="D11" t="inlineStr">
        <is>
          <t>Linked to Imported ASCE (green)</t>
        </is>
      </c>
    </row>
    <row r="12">
      <c r="A12" t="inlineStr">
        <is>
          <t>TL</t>
        </is>
      </c>
      <c r="B12" s="3">
        <f>'Imported ASCE'!B21</f>
        <v>8</v>
      </c>
      <c r="C12" t="inlineStr">
        <is>
          <t>sec</t>
        </is>
      </c>
      <c r="D12" t="inlineStr">
        <is>
          <t>Linked to Imported ASCE (green)</t>
        </is>
      </c>
    </row>
    <row r="13">
      <c r="A13" t="inlineStr">
        <is>
          <t>Risk Category</t>
        </is>
      </c>
      <c r="B13" s="4" t="inlineStr">
        <is>
          <t>II</t>
        </is>
      </c>
      <c r="C13" t="inlineStr"/>
      <c r="D13" t="inlineStr">
        <is>
          <t>I / II / III / IV - sets Ie and SDC</t>
        </is>
      </c>
    </row>
    <row r="14">
      <c r="A14" t="inlineStr">
        <is>
          <t>Site Class</t>
        </is>
      </c>
      <c r="B14" s="4" t="inlineStr">
        <is>
          <t>D</t>
        </is>
      </c>
      <c r="C14" t="inlineStr"/>
      <c r="D14" t="inlineStr">
        <is>
          <t>Used for 12.8.1.3 check</t>
        </is>
      </c>
    </row>
    <row r="15">
      <c r="A15" t="inlineStr">
        <is>
          <t>Part 1 reported SDC</t>
        </is>
      </c>
      <c r="B15" s="4" t="inlineStr">
        <is>
          <t>D</t>
        </is>
      </c>
      <c r="C15" t="inlineStr"/>
      <c r="D15" t="inlineStr">
        <is>
          <t>Compared with computed SDC</t>
        </is>
      </c>
    </row>
    <row r="16">
      <c r="A16" t="inlineStr">
        <is>
          <t>Structural height hn</t>
        </is>
      </c>
      <c r="B16" s="4" t="n">
        <v>60</v>
      </c>
      <c r="C16" t="inlineStr">
        <is>
          <t>ft</t>
        </is>
      </c>
      <c r="D16" t="inlineStr">
        <is>
          <t>Engineer</t>
        </is>
      </c>
    </row>
    <row r="17">
      <c r="A17" t="inlineStr">
        <is>
          <t>Stories above base</t>
        </is>
      </c>
      <c r="B17" s="4" t="n">
        <v>4</v>
      </c>
      <c r="C17" t="inlineStr"/>
      <c r="D17" t="inlineStr">
        <is>
          <t>Engineer (12.8.1.3 only)</t>
        </is>
      </c>
    </row>
    <row r="18">
      <c r="A18" t="inlineStr">
        <is>
          <t>W - effective seismic weight</t>
        </is>
      </c>
      <c r="B18" s="4" t="n">
        <v>1500</v>
      </c>
      <c r="C18" t="inlineStr">
        <is>
          <t>kips</t>
        </is>
      </c>
      <c r="D18" t="inlineStr">
        <is>
          <t>Engineer supplied; not calculated</t>
        </is>
      </c>
    </row>
    <row r="19">
      <c r="A19" t="inlineStr">
        <is>
          <t>Apply Section 12.8.1.3 max SDS?</t>
        </is>
      </c>
      <c r="B19" s="4" t="inlineStr">
        <is>
          <t>NO</t>
        </is>
      </c>
      <c r="C19" t="inlineStr"/>
      <c r="D19" t="inlineStr">
        <is>
          <t>YES / NO</t>
        </is>
      </c>
    </row>
    <row r="20">
      <c r="A20" t="inlineStr">
        <is>
          <t>Confirm: regular, no irregularities</t>
        </is>
      </c>
      <c r="B20" s="4" t="inlineStr">
        <is>
          <t>NO</t>
        </is>
      </c>
      <c r="C20" t="inlineStr"/>
      <c r="D20" t="inlineStr">
        <is>
          <t>Engineer confirmation (not checked)</t>
        </is>
      </c>
    </row>
    <row r="21">
      <c r="A21" t="inlineStr">
        <is>
          <t>Confirm: rho = 1.0</t>
        </is>
      </c>
      <c r="B21" s="4" t="inlineStr">
        <is>
          <t>NO</t>
        </is>
      </c>
      <c r="C21" t="inlineStr"/>
      <c r="D21" t="inlineStr">
        <is>
          <t>Engineer confirmation (not checked)</t>
        </is>
      </c>
    </row>
    <row r="23">
      <c r="A23" s="2" t="inlineStr">
        <is>
          <t>DIRECTION INPUTS</t>
        </is>
      </c>
      <c r="B23" s="2" t="inlineStr">
        <is>
          <t>X</t>
        </is>
      </c>
      <c r="C23" s="2" t="inlineStr">
        <is>
          <t>Y</t>
        </is>
      </c>
      <c r="D23" s="2" t="inlineStr">
        <is>
          <t>NOTE</t>
        </is>
      </c>
    </row>
    <row r="24">
      <c r="A24" t="inlineStr">
        <is>
          <t>Combination</t>
        </is>
      </c>
      <c r="B24" s="4" t="inlineStr">
        <is>
          <t>single</t>
        </is>
      </c>
      <c r="C24" s="4" t="inlineStr">
        <is>
          <t>single</t>
        </is>
      </c>
      <c r="D24" t="inlineStr">
        <is>
          <t>single / horizontal / vertical (12.2.3)</t>
        </is>
      </c>
    </row>
    <row r="25">
      <c r="A25" t="inlineStr">
        <is>
          <t>System 1 ID (Table 12.2-1)</t>
        </is>
      </c>
      <c r="B25" s="4" t="inlineStr">
        <is>
          <t>C1</t>
        </is>
      </c>
      <c r="C25" s="4" t="inlineStr">
        <is>
          <t>B2</t>
        </is>
      </c>
      <c r="D25" t="inlineStr">
        <is>
          <t>Vertical: System 1 = UPPER, System 2 = LOWER</t>
        </is>
      </c>
    </row>
    <row r="26">
      <c r="A26" t="inlineStr">
        <is>
          <t>System 2 ID (Table 12.2-1)</t>
        </is>
      </c>
      <c r="B26" s="4" t="n"/>
      <c r="C26" s="4" t="n"/>
    </row>
    <row r="27">
      <c r="A27" t="inlineStr">
        <is>
          <t>System 3 ID (Table 12.2-1)</t>
        </is>
      </c>
      <c r="B27" s="4" t="n"/>
      <c r="C27" s="4" t="n"/>
    </row>
    <row r="28">
      <c r="A28" t="inlineStr">
        <is>
          <t>System 4 ID (Table 12.2-1)</t>
        </is>
      </c>
      <c r="B28" s="4" t="n"/>
      <c r="C28" s="4" t="n"/>
    </row>
    <row r="29">
      <c r="A29" t="inlineStr">
        <is>
          <t>Analysis period T (blank = use Ta)</t>
        </is>
      </c>
      <c r="B29" s="4" t="n">
        <v>1.2</v>
      </c>
      <c r="C29" s="4" t="n"/>
      <c r="D29" t="inlineStr">
        <is>
          <t>sec</t>
        </is>
      </c>
    </row>
    <row r="30">
      <c r="A30" t="inlineStr">
        <is>
          <t>Table 12.8-2 structure type key</t>
        </is>
      </c>
      <c r="B30" s="4" t="inlineStr">
        <is>
          <t>steel_mf</t>
        </is>
      </c>
      <c r="C30" s="4" t="inlineStr">
        <is>
          <t>all_other</t>
        </is>
      </c>
      <c r="D30" t="inlineStr">
        <is>
          <t>See Code Tables A11:A15</t>
        </is>
      </c>
    </row>
  </sheetData>
  <mergeCells count="1">
    <mergeCell ref="A1:E2"/>
  </mergeCells>
  <dataValidations count="4">
    <dataValidation sqref="B24 C24" showDropDown="0" showInputMessage="0" showErrorMessage="0" allowBlank="0" type="list">
      <formula1>"single,horizontal,vertical"</formula1>
    </dataValidation>
    <dataValidation sqref="B30 C30" showDropDown="0" showInputMessage="0" showErrorMessage="0" allowBlank="0" type="list">
      <formula1>"steel_mf,concrete_mf,steel_ebf,steel_brbf,all_other"</formula1>
    </dataValidation>
    <dataValidation sqref="B19 B20 B21" showDropDown="0" showInputMessage="0" showErrorMessage="0" allowBlank="0" type="list">
      <formula1>"YES,NO"</formula1>
    </dataValidation>
    <dataValidation sqref="B13" showDropDown="0" showInputMessage="0" showErrorMessage="0" allowBlank="0" type="list">
      <formula1>"I,II,III,IV"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20" customWidth="1" min="3" max="3"/>
    <col width="10" customWidth="1" min="4" max="4"/>
    <col width="62" customWidth="1" min="5" max="5"/>
  </cols>
  <sheetData>
    <row r="1">
      <c r="A1" s="1" t="inlineStr">
        <is>
          <t>B&amp;P  |  SEISMIC Cs &amp; BASE SHEAR - X / Y</t>
        </is>
      </c>
    </row>
    <row r="2"/>
    <row r="4">
      <c r="A4" s="2" t="inlineStr">
        <is>
          <t>GLOBAL</t>
        </is>
      </c>
      <c r="B4" s="2" t="inlineStr">
        <is>
          <t>VALUE</t>
        </is>
      </c>
      <c r="C4" s="2" t="inlineStr"/>
      <c r="D4" s="2" t="inlineStr">
        <is>
          <t>UNITS</t>
        </is>
      </c>
      <c r="E4" s="2" t="inlineStr">
        <is>
          <t>FORMULA / REFERENCE</t>
        </is>
      </c>
    </row>
    <row r="5">
      <c r="A5" t="inlineStr">
        <is>
          <t>Ie</t>
        </is>
      </c>
      <c r="B5">
        <f>INDEX('Code Tables'!$B$5:$B$8,MATCH(Inputs!$B$13,'Code Tables'!$A$5:$A$8,0))</f>
        <v>1</v>
      </c>
      <c r="D5" t="inlineStr"/>
      <c r="E5" t="inlineStr">
        <is>
          <t>Table 1.5-2</t>
        </is>
      </c>
    </row>
    <row r="6">
      <c r="A6" t="inlineStr">
        <is>
          <t>SDC from SDS</t>
        </is>
      </c>
      <c r="B6">
        <f>IF(Inputs!$B$9&gt;=0.5,"D",IF(Inputs!$B$9&gt;=0.33,IF(Inputs!$B$13="IV","D","C"),IF(Inputs!$B$9&gt;=0.167,IF(Inputs!$B$13="IV","C","B"),"A")))</f>
        <v/>
      </c>
      <c r="D6" t="inlineStr"/>
      <c r="E6" t="inlineStr">
        <is>
          <t>Table 11.6-1</t>
        </is>
      </c>
    </row>
    <row r="7">
      <c r="A7" t="inlineStr">
        <is>
          <t>SDC from SD1</t>
        </is>
      </c>
      <c r="B7">
        <f>IF(Inputs!$B$10&gt;=0.2,"D",IF(Inputs!$B$10&gt;=0.133,IF(Inputs!$B$13="IV","D","C"),IF(Inputs!$B$10&gt;=0.067,IF(Inputs!$B$13="IV","C","B"),"A")))</f>
        <v/>
      </c>
      <c r="D7" t="inlineStr"/>
      <c r="E7" t="inlineStr">
        <is>
          <t>Table 11.6-2</t>
        </is>
      </c>
    </row>
    <row r="8">
      <c r="A8" t="inlineStr">
        <is>
          <t>SDC (governing)</t>
        </is>
      </c>
      <c r="B8">
        <f>IF(Inputs!$B$11&gt;=0.75,IF(Inputs!$B$13="IV","F","E"),IF(MATCH(B6,{"A","B","C","D","E","F"},0)&gt;=MATCH(B7,{"A","B","C","D","E","F"},0),B6,B7))</f>
        <v/>
      </c>
      <c r="D8" t="inlineStr"/>
      <c r="E8" t="inlineStr">
        <is>
          <t>Section 11.6; 11.6 exception NOT applied</t>
        </is>
      </c>
    </row>
    <row r="9">
      <c r="A9" t="inlineStr">
        <is>
          <t>SDC check vs Part 1</t>
        </is>
      </c>
      <c r="B9">
        <f>IF(Inputs!$B$15="","No Part 1 SDC",IF(Inputs!$B$15=B8,"Matches Part 1","MISMATCH - resolve"))</f>
        <v/>
      </c>
      <c r="D9" t="inlineStr"/>
      <c r="E9" t="inlineStr">
        <is>
          <t>Warning only</t>
        </is>
      </c>
    </row>
    <row r="10">
      <c r="A10" t="inlineStr">
        <is>
          <t>Cu</t>
        </is>
      </c>
      <c r="B10">
        <f>IF(Inputs!$B$10&gt;='Code Tables'!$A$23,'Code Tables'!$B$23,IF(Inputs!$B$10&gt;='Code Tables'!$A$24,'Code Tables'!$B$24+('Code Tables'!$B$23-'Code Tables'!$B$24)*(Inputs!$B$10-'Code Tables'!$A$24)/('Code Tables'!$A$23-'Code Tables'!$A$24),IF(Inputs!$B$10&gt;='Code Tables'!$A$25,'Code Tables'!$B$25+('Code Tables'!$B$24-'Code Tables'!$B$25)*(Inputs!$B$10-'Code Tables'!$A$25)/('Code Tables'!$A$24-'Code Tables'!$A$25),IF(Inputs!$B$10&gt;'Code Tables'!$A$26,'Code Tables'!$B$26+('Code Tables'!$B$25-'Code Tables'!$B$26)*(Inputs!$B$10-'Code Tables'!$A$26)/('Code Tables'!$A$25-'Code Tables'!$A$26),'Code Tables'!$B$26))))</f>
        <v>1.4</v>
      </c>
      <c r="D10" t="inlineStr"/>
      <c r="E10" t="inlineStr">
        <is>
          <t>Table 12.8-1 (interpolated)</t>
        </is>
      </c>
    </row>
    <row r="11">
      <c r="A11" t="inlineStr">
        <is>
          <t>Ts = SD1/SDS</t>
        </is>
      </c>
      <c r="B11">
        <f>IF(Inputs!$B$9&gt;0,Inputs!$B$10/Inputs!$B$9,"")</f>
        <v>0.647058823529412</v>
      </c>
      <c r="D11" t="inlineStr">
        <is>
          <t>sec</t>
        </is>
      </c>
      <c r="E11" t="inlineStr">
        <is>
          <t>Section 11.4</t>
        </is>
      </c>
    </row>
    <row r="13">
      <c r="A13" s="2" t="inlineStr">
        <is>
          <t>BY DIRECTION</t>
        </is>
      </c>
      <c r="B13" s="2" t="inlineStr">
        <is>
          <t>X</t>
        </is>
      </c>
      <c r="C13" s="2" t="inlineStr">
        <is>
          <t>Y</t>
        </is>
      </c>
      <c r="D13" s="2" t="inlineStr">
        <is>
          <t>UNITS</t>
        </is>
      </c>
      <c r="E13" s="2" t="inlineStr">
        <is>
          <t>FORMULA / REFERENCE</t>
        </is>
      </c>
    </row>
    <row r="14">
      <c r="A14" t="inlineStr">
        <is>
          <t>System 1 ID</t>
        </is>
      </c>
      <c r="B14" s="5">
        <f>IF(Inputs!B$25="","",Inputs!B$25)</f>
        <v/>
      </c>
      <c r="C14" s="5">
        <f>IF(Inputs!C$25="","",Inputs!C$25)</f>
        <v/>
      </c>
      <c r="D14" t="inlineStr"/>
      <c r="E14" t="inlineStr">
        <is>
          <t>Inputs</t>
        </is>
      </c>
    </row>
    <row r="15">
      <c r="A15" t="inlineStr">
        <is>
          <t xml:space="preserve">  System 1 R</t>
        </is>
      </c>
      <c r="B15" s="6">
        <f>IF(B14="","",INDEX('Table 12.2-1'!$F:$F,MATCH(B14,'Table 12.2-1'!$A:$A,0)))</f>
        <v>8</v>
      </c>
      <c r="C15" s="6">
        <f>IF(C14="","",INDEX('Table 12.2-1'!$F:$F,MATCH(C14,'Table 12.2-1'!$A:$A,0)))</f>
        <v>6</v>
      </c>
      <c r="D15" t="inlineStr"/>
      <c r="E15" t="inlineStr">
        <is>
          <t>Table 12.2-1</t>
        </is>
      </c>
    </row>
    <row r="16">
      <c r="A16" t="inlineStr">
        <is>
          <t xml:space="preserve">  System 1 Omega0</t>
        </is>
      </c>
      <c r="B16" s="6">
        <f>IF(B14="","",INDEX('Table 12.2-1'!$G:$G,MATCH(B14,'Table 12.2-1'!$A:$A,0)))</f>
        <v>3</v>
      </c>
      <c r="C16" s="6">
        <f>IF(C14="","",INDEX('Table 12.2-1'!$G:$G,MATCH(C14,'Table 12.2-1'!$A:$A,0)))</f>
        <v>2</v>
      </c>
      <c r="D16" t="inlineStr"/>
      <c r="E16" t="inlineStr">
        <is>
          <t>Table 12.2-1</t>
        </is>
      </c>
    </row>
    <row r="17">
      <c r="A17" t="inlineStr">
        <is>
          <t xml:space="preserve">  System 1 Cd</t>
        </is>
      </c>
      <c r="B17" s="6">
        <f>IF(B14="","",INDEX('Table 12.2-1'!$H:$H,MATCH(B14,'Table 12.2-1'!$A:$A,0)))</f>
        <v>5.5</v>
      </c>
      <c r="C17" s="6">
        <f>IF(C14="","",INDEX('Table 12.2-1'!$H:$H,MATCH(C14,'Table 12.2-1'!$A:$A,0)))</f>
        <v>5</v>
      </c>
      <c r="D17" t="inlineStr"/>
      <c r="E17" t="inlineStr">
        <is>
          <t>Table 12.2-1</t>
        </is>
      </c>
    </row>
    <row r="18">
      <c r="A18" t="inlineStr">
        <is>
          <t xml:space="preserve">  System 1 height limit at SDC</t>
        </is>
      </c>
      <c r="B18" s="7">
        <f>IF(OR(B14="",$B$8="A"),"",INDEX('Table 12.2-1'!$I:$M,MATCH(B14,'Table 12.2-1'!$A:$A,0),MATCH($B$8,{"B","C","D","E","F"},0)))</f>
        <v/>
      </c>
      <c r="C18" s="7">
        <f>IF(OR(C14="",$B$8="A"),"",INDEX('Table 12.2-1'!$I:$M,MATCH(C14,'Table 12.2-1'!$A:$A,0),MATCH($B$8,{"B","C","D","E","F"},0)))</f>
        <v>160</v>
      </c>
      <c r="D18" t="inlineStr">
        <is>
          <t>ft</t>
        </is>
      </c>
      <c r="E18" t="inlineStr">
        <is>
          <t>Table 12.2-1 (NL/NP)</t>
        </is>
      </c>
    </row>
    <row r="19">
      <c r="A19" t="inlineStr">
        <is>
          <t xml:space="preserve">  System 1 limit status</t>
        </is>
      </c>
      <c r="B19" s="5">
        <f>IF(B18="","",IF(B18="NP","NOT PERMITTED",IF(B18="NL","OK",IF(Inputs!$B$16&gt;B18,"EXCEEDS LIMIT","OK"))))</f>
        <v/>
      </c>
      <c r="C19" s="5">
        <f>IF(C18="","",IF(C18="NP","NOT PERMITTED",IF(C18="NL","OK",IF(Inputs!$B$16&gt;C18,"EXCEEDS LIMIT","OK"))))</f>
        <v/>
      </c>
      <c r="D19" t="inlineStr"/>
      <c r="E19" t="inlineStr">
        <is>
          <t>Warning only; 12.2.5.4 not evaluated</t>
        </is>
      </c>
    </row>
    <row r="20">
      <c r="A20" t="inlineStr">
        <is>
          <t>System 2 ID</t>
        </is>
      </c>
      <c r="B20" s="5">
        <f>IF(Inputs!B$26="","",Inputs!B$26)</f>
        <v/>
      </c>
      <c r="C20" s="5">
        <f>IF(Inputs!C$26="","",Inputs!C$26)</f>
        <v/>
      </c>
      <c r="D20" t="inlineStr"/>
      <c r="E20" t="inlineStr">
        <is>
          <t>Inputs</t>
        </is>
      </c>
    </row>
    <row r="21">
      <c r="A21" t="inlineStr">
        <is>
          <t xml:space="preserve">  System 2 R</t>
        </is>
      </c>
      <c r="B21" s="6">
        <f>IF(B20="","",INDEX('Table 12.2-1'!$F:$F,MATCH(B20,'Table 12.2-1'!$A:$A,0)))</f>
        <v/>
      </c>
      <c r="C21" s="6">
        <f>IF(C20="","",INDEX('Table 12.2-1'!$F:$F,MATCH(C20,'Table 12.2-1'!$A:$A,0)))</f>
        <v/>
      </c>
      <c r="D21" t="inlineStr"/>
      <c r="E21" t="inlineStr">
        <is>
          <t>Table 12.2-1</t>
        </is>
      </c>
    </row>
    <row r="22">
      <c r="A22" t="inlineStr">
        <is>
          <t xml:space="preserve">  System 2 Omega0</t>
        </is>
      </c>
      <c r="B22" s="6">
        <f>IF(B20="","",INDEX('Table 12.2-1'!$G:$G,MATCH(B20,'Table 12.2-1'!$A:$A,0)))</f>
        <v/>
      </c>
      <c r="C22" s="6">
        <f>IF(C20="","",INDEX('Table 12.2-1'!$G:$G,MATCH(C20,'Table 12.2-1'!$A:$A,0)))</f>
        <v/>
      </c>
      <c r="D22" t="inlineStr"/>
      <c r="E22" t="inlineStr">
        <is>
          <t>Table 12.2-1</t>
        </is>
      </c>
    </row>
    <row r="23">
      <c r="A23" t="inlineStr">
        <is>
          <t xml:space="preserve">  System 2 Cd</t>
        </is>
      </c>
      <c r="B23" s="6">
        <f>IF(B20="","",INDEX('Table 12.2-1'!$H:$H,MATCH(B20,'Table 12.2-1'!$A:$A,0)))</f>
        <v/>
      </c>
      <c r="C23" s="6">
        <f>IF(C20="","",INDEX('Table 12.2-1'!$H:$H,MATCH(C20,'Table 12.2-1'!$A:$A,0)))</f>
        <v/>
      </c>
      <c r="D23" t="inlineStr"/>
      <c r="E23" t="inlineStr">
        <is>
          <t>Table 12.2-1</t>
        </is>
      </c>
    </row>
    <row r="24">
      <c r="A24" t="inlineStr">
        <is>
          <t xml:space="preserve">  System 2 height limit at SDC</t>
        </is>
      </c>
      <c r="B24" s="7">
        <f>IF(OR(B20="",$B$8="A"),"",INDEX('Table 12.2-1'!$I:$M,MATCH(B20,'Table 12.2-1'!$A:$A,0),MATCH($B$8,{"B","C","D","E","F"},0)))</f>
        <v/>
      </c>
      <c r="C24" s="7">
        <f>IF(OR(C20="",$B$8="A"),"",INDEX('Table 12.2-1'!$I:$M,MATCH(C20,'Table 12.2-1'!$A:$A,0),MATCH($B$8,{"B","C","D","E","F"},0)))</f>
        <v/>
      </c>
      <c r="D24" t="inlineStr">
        <is>
          <t>ft</t>
        </is>
      </c>
      <c r="E24" t="inlineStr">
        <is>
          <t>Table 12.2-1 (NL/NP)</t>
        </is>
      </c>
    </row>
    <row r="25">
      <c r="A25" t="inlineStr">
        <is>
          <t xml:space="preserve">  System 2 limit status</t>
        </is>
      </c>
      <c r="B25" s="5">
        <f>IF(B24="","",IF(B24="NP","NOT PERMITTED",IF(B24="NL","OK",IF(Inputs!$B$16&gt;B24,"EXCEEDS LIMIT","OK"))))</f>
        <v/>
      </c>
      <c r="C25" s="5">
        <f>IF(C24="","",IF(C24="NP","NOT PERMITTED",IF(C24="NL","OK",IF(Inputs!$B$16&gt;C24,"EXCEEDS LIMIT","OK"))))</f>
        <v/>
      </c>
      <c r="D25" t="inlineStr"/>
      <c r="E25" t="inlineStr">
        <is>
          <t>Warning only; 12.2.5.4 not evaluated</t>
        </is>
      </c>
    </row>
    <row r="26">
      <c r="A26" t="inlineStr">
        <is>
          <t>System 3 ID</t>
        </is>
      </c>
      <c r="B26" s="5">
        <f>IF(Inputs!B$27="","",Inputs!B$27)</f>
        <v/>
      </c>
      <c r="C26" s="5">
        <f>IF(Inputs!C$27="","",Inputs!C$27)</f>
        <v/>
      </c>
      <c r="D26" t="inlineStr"/>
      <c r="E26" t="inlineStr">
        <is>
          <t>Inputs</t>
        </is>
      </c>
    </row>
    <row r="27">
      <c r="A27" t="inlineStr">
        <is>
          <t xml:space="preserve">  System 3 R</t>
        </is>
      </c>
      <c r="B27" s="6">
        <f>IF(B26="","",INDEX('Table 12.2-1'!$F:$F,MATCH(B26,'Table 12.2-1'!$A:$A,0)))</f>
        <v/>
      </c>
      <c r="C27" s="6">
        <f>IF(C26="","",INDEX('Table 12.2-1'!$F:$F,MATCH(C26,'Table 12.2-1'!$A:$A,0)))</f>
        <v/>
      </c>
      <c r="D27" t="inlineStr"/>
      <c r="E27" t="inlineStr">
        <is>
          <t>Table 12.2-1</t>
        </is>
      </c>
    </row>
    <row r="28">
      <c r="A28" t="inlineStr">
        <is>
          <t xml:space="preserve">  System 3 Omega0</t>
        </is>
      </c>
      <c r="B28" s="6">
        <f>IF(B26="","",INDEX('Table 12.2-1'!$G:$G,MATCH(B26,'Table 12.2-1'!$A:$A,0)))</f>
        <v/>
      </c>
      <c r="C28" s="6">
        <f>IF(C26="","",INDEX('Table 12.2-1'!$G:$G,MATCH(C26,'Table 12.2-1'!$A:$A,0)))</f>
        <v/>
      </c>
      <c r="D28" t="inlineStr"/>
      <c r="E28" t="inlineStr">
        <is>
          <t>Table 12.2-1</t>
        </is>
      </c>
    </row>
    <row r="29">
      <c r="A29" t="inlineStr">
        <is>
          <t xml:space="preserve">  System 3 Cd</t>
        </is>
      </c>
      <c r="B29" s="6">
        <f>IF(B26="","",INDEX('Table 12.2-1'!$H:$H,MATCH(B26,'Table 12.2-1'!$A:$A,0)))</f>
        <v/>
      </c>
      <c r="C29" s="6">
        <f>IF(C26="","",INDEX('Table 12.2-1'!$H:$H,MATCH(C26,'Table 12.2-1'!$A:$A,0)))</f>
        <v/>
      </c>
      <c r="D29" t="inlineStr"/>
      <c r="E29" t="inlineStr">
        <is>
          <t>Table 12.2-1</t>
        </is>
      </c>
    </row>
    <row r="30">
      <c r="A30" t="inlineStr">
        <is>
          <t xml:space="preserve">  System 3 height limit at SDC</t>
        </is>
      </c>
      <c r="B30" s="7">
        <f>IF(OR(B26="",$B$8="A"),"",INDEX('Table 12.2-1'!$I:$M,MATCH(B26,'Table 12.2-1'!$A:$A,0),MATCH($B$8,{"B","C","D","E","F"},0)))</f>
        <v/>
      </c>
      <c r="C30" s="7">
        <f>IF(OR(C26="",$B$8="A"),"",INDEX('Table 12.2-1'!$I:$M,MATCH(C26,'Table 12.2-1'!$A:$A,0),MATCH($B$8,{"B","C","D","E","F"},0)))</f>
        <v/>
      </c>
      <c r="D30" t="inlineStr">
        <is>
          <t>ft</t>
        </is>
      </c>
      <c r="E30" t="inlineStr">
        <is>
          <t>Table 12.2-1 (NL/NP)</t>
        </is>
      </c>
    </row>
    <row r="31">
      <c r="A31" t="inlineStr">
        <is>
          <t xml:space="preserve">  System 3 limit status</t>
        </is>
      </c>
      <c r="B31" s="5">
        <f>IF(B30="","",IF(B30="NP","NOT PERMITTED",IF(B30="NL","OK",IF(Inputs!$B$16&gt;B30,"EXCEEDS LIMIT","OK"))))</f>
        <v/>
      </c>
      <c r="C31" s="5">
        <f>IF(C30="","",IF(C30="NP","NOT PERMITTED",IF(C30="NL","OK",IF(Inputs!$B$16&gt;C30,"EXCEEDS LIMIT","OK"))))</f>
        <v/>
      </c>
      <c r="D31" t="inlineStr"/>
      <c r="E31" t="inlineStr">
        <is>
          <t>Warning only; 12.2.5.4 not evaluated</t>
        </is>
      </c>
    </row>
    <row r="32">
      <c r="A32" t="inlineStr">
        <is>
          <t>System 4 ID</t>
        </is>
      </c>
      <c r="B32" s="5">
        <f>IF(Inputs!B$28="","",Inputs!B$28)</f>
        <v/>
      </c>
      <c r="C32" s="5">
        <f>IF(Inputs!C$28="","",Inputs!C$28)</f>
        <v/>
      </c>
      <c r="D32" t="inlineStr"/>
      <c r="E32" t="inlineStr">
        <is>
          <t>Inputs</t>
        </is>
      </c>
    </row>
    <row r="33">
      <c r="A33" t="inlineStr">
        <is>
          <t xml:space="preserve">  System 4 R</t>
        </is>
      </c>
      <c r="B33" s="6">
        <f>IF(B32="","",INDEX('Table 12.2-1'!$F:$F,MATCH(B32,'Table 12.2-1'!$A:$A,0)))</f>
        <v/>
      </c>
      <c r="C33" s="6">
        <f>IF(C32="","",INDEX('Table 12.2-1'!$F:$F,MATCH(C32,'Table 12.2-1'!$A:$A,0)))</f>
        <v/>
      </c>
      <c r="D33" t="inlineStr"/>
      <c r="E33" t="inlineStr">
        <is>
          <t>Table 12.2-1</t>
        </is>
      </c>
    </row>
    <row r="34">
      <c r="A34" t="inlineStr">
        <is>
          <t xml:space="preserve">  System 4 Omega0</t>
        </is>
      </c>
      <c r="B34" s="6">
        <f>IF(B32="","",INDEX('Table 12.2-1'!$G:$G,MATCH(B32,'Table 12.2-1'!$A:$A,0)))</f>
        <v/>
      </c>
      <c r="C34" s="6">
        <f>IF(C32="","",INDEX('Table 12.2-1'!$G:$G,MATCH(C32,'Table 12.2-1'!$A:$A,0)))</f>
        <v/>
      </c>
      <c r="D34" t="inlineStr"/>
      <c r="E34" t="inlineStr">
        <is>
          <t>Table 12.2-1</t>
        </is>
      </c>
    </row>
    <row r="35">
      <c r="A35" t="inlineStr">
        <is>
          <t xml:space="preserve">  System 4 Cd</t>
        </is>
      </c>
      <c r="B35" s="6">
        <f>IF(B32="","",INDEX('Table 12.2-1'!$H:$H,MATCH(B32,'Table 12.2-1'!$A:$A,0)))</f>
        <v/>
      </c>
      <c r="C35" s="6">
        <f>IF(C32="","",INDEX('Table 12.2-1'!$H:$H,MATCH(C32,'Table 12.2-1'!$A:$A,0)))</f>
        <v/>
      </c>
      <c r="D35" t="inlineStr"/>
      <c r="E35" t="inlineStr">
        <is>
          <t>Table 12.2-1</t>
        </is>
      </c>
    </row>
    <row r="36">
      <c r="A36" t="inlineStr">
        <is>
          <t xml:space="preserve">  System 4 height limit at SDC</t>
        </is>
      </c>
      <c r="B36" s="7">
        <f>IF(OR(B32="",$B$8="A"),"",INDEX('Table 12.2-1'!$I:$M,MATCH(B32,'Table 12.2-1'!$A:$A,0),MATCH($B$8,{"B","C","D","E","F"},0)))</f>
        <v/>
      </c>
      <c r="C36" s="7">
        <f>IF(OR(C32="",$B$8="A"),"",INDEX('Table 12.2-1'!$I:$M,MATCH(C32,'Table 12.2-1'!$A:$A,0),MATCH($B$8,{"B","C","D","E","F"},0)))</f>
        <v/>
      </c>
      <c r="D36" t="inlineStr">
        <is>
          <t>ft</t>
        </is>
      </c>
      <c r="E36" t="inlineStr">
        <is>
          <t>Table 12.2-1 (NL/NP)</t>
        </is>
      </c>
    </row>
    <row r="37">
      <c r="A37" t="inlineStr">
        <is>
          <t xml:space="preserve">  System 4 limit status</t>
        </is>
      </c>
      <c r="B37" s="5">
        <f>IF(B36="","",IF(B36="NP","NOT PERMITTED",IF(B36="NL","OK",IF(Inputs!$B$16&gt;B36,"EXCEEDS LIMIT","OK"))))</f>
        <v/>
      </c>
      <c r="C37" s="5">
        <f>IF(C36="","",IF(C36="NP","NOT PERMITTED",IF(C36="NL","OK",IF(Inputs!$B$16&gt;C36,"EXCEEDS LIMIT","OK"))))</f>
        <v/>
      </c>
      <c r="D37" t="inlineStr"/>
      <c r="E37" t="inlineStr">
        <is>
          <t>Warning only; 12.2.5.4 not evaluated</t>
        </is>
      </c>
    </row>
    <row r="38">
      <c r="A38" t="inlineStr">
        <is>
          <t>R (design, base/lower system)</t>
        </is>
      </c>
      <c r="B38" s="6">
        <f>MIN(B15,B21,B27,B33)</f>
        <v>8</v>
      </c>
      <c r="C38" s="6">
        <f>MIN(C15,C21,C27,C33)</f>
        <v>6</v>
      </c>
      <c r="D38" t="inlineStr"/>
      <c r="E38" t="inlineStr">
        <is>
          <t>12.2.3: least R; vertical = MIN(upper, lower)</t>
        </is>
      </c>
    </row>
    <row r="39">
      <c r="A39" t="inlineStr">
        <is>
          <t>Omega0 (design, base/lower system)</t>
        </is>
      </c>
      <c r="B39" s="6">
        <f>IF(Inputs!B$24="vertical",IF(B21&lt;B15,B22,B16),MAX(IF(B15=B38,B16,0),IF(B21=B38,B22,0),IF(B27=B38,B28,0),IF(B33=B38,B34,0)))</f>
        <v>3</v>
      </c>
      <c r="C39" s="6">
        <f>IF(Inputs!C$24="vertical",IF(C21&lt;C15,C22,C16),MAX(IF(C15=C38,C16,0),IF(C21=C38,C22,0),IF(C27=C38,C28,0),IF(C33=C38,C34,0)))</f>
        <v>2</v>
      </c>
      <c r="D39" t="inlineStr"/>
      <c r="E39" t="inlineStr">
        <is>
          <t>12.2.3.1 / 12.2.3.3</t>
        </is>
      </c>
    </row>
    <row r="40">
      <c r="A40" t="inlineStr">
        <is>
          <t>Cd (design, base/lower system)</t>
        </is>
      </c>
      <c r="B40" s="6">
        <f>IF(Inputs!B$24="vertical",IF(B21&lt;B15,B23,B17),MAX(IF(B15=B38,B17,0),IF(B21=B38,B23,0),IF(B27=B38,B29,0),IF(B33=B38,B35,0)))</f>
        <v>5.5</v>
      </c>
      <c r="C40" s="6">
        <f>IF(Inputs!C$24="vertical",IF(C21&lt;C15,C23,C17),MAX(IF(C15=C38,C17,0),IF(C21=C38,C23,0),IF(C27=C38,C29,0),IF(C33=C38,C35,0)))</f>
        <v>5</v>
      </c>
      <c r="D40" t="inlineStr"/>
      <c r="E40" t="inlineStr">
        <is>
          <t>12.2.3.1 / 12.2.3.3</t>
        </is>
      </c>
    </row>
    <row r="41">
      <c r="A41" t="inlineStr">
        <is>
          <t>R (upper system, vertical only)</t>
        </is>
      </c>
      <c r="B41" s="6">
        <f>IF(Inputs!B$24="vertical",B15,"")</f>
        <v/>
      </c>
      <c r="C41" s="6">
        <f>IF(Inputs!C$24="vertical",C15,"")</f>
        <v/>
      </c>
      <c r="D41" t="inlineStr"/>
      <c r="E41" t="inlineStr">
        <is>
          <t>12.2.3.1</t>
        </is>
      </c>
    </row>
    <row r="42">
      <c r="A42" t="inlineStr">
        <is>
          <t>Transfer force amplification upper-&gt;lower</t>
        </is>
      </c>
      <c r="B42" s="8">
        <f>IF(Inputs!B$24="vertical",IF(B21&lt;B15,B15/B21,1),"")</f>
        <v/>
      </c>
      <c r="C42" s="8">
        <f>IF(Inputs!C$24="vertical",IF(C21&lt;C15,C15/C21,1),"")</f>
        <v/>
      </c>
      <c r="D42" t="inlineStr"/>
      <c r="E42" t="inlineStr">
        <is>
          <t>12.2.3.1: R_upper/R_lower if lower R is less</t>
        </is>
      </c>
    </row>
    <row r="43">
      <c r="A43" t="inlineStr">
        <is>
          <t>Ct</t>
        </is>
      </c>
      <c r="B43" s="8">
        <f>INDEX('Code Tables'!$C$11:$C$15,MATCH(Inputs!B$30,'Code Tables'!$A$11:$A$15,0))</f>
        <v>0.028</v>
      </c>
      <c r="C43" s="8">
        <f>INDEX('Code Tables'!$C$11:$C$15,MATCH(Inputs!C$30,'Code Tables'!$A$11:$A$15,0))</f>
        <v>0.02</v>
      </c>
      <c r="D43" t="inlineStr"/>
      <c r="E43" t="inlineStr">
        <is>
          <t>Table 12.8-2</t>
        </is>
      </c>
    </row>
    <row r="44">
      <c r="A44" t="inlineStr">
        <is>
          <t>x</t>
        </is>
      </c>
      <c r="B44" s="6">
        <f>INDEX('Code Tables'!$D$11:$D$15,MATCH(Inputs!B$30,'Code Tables'!$A$11:$A$15,0))</f>
        <v>0.8</v>
      </c>
      <c r="C44" s="6">
        <f>INDEX('Code Tables'!$D$11:$D$15,MATCH(Inputs!C$30,'Code Tables'!$A$11:$A$15,0))</f>
        <v>0.75</v>
      </c>
      <c r="D44" t="inlineStr"/>
      <c r="E44" t="inlineStr">
        <is>
          <t>Table 12.8-2</t>
        </is>
      </c>
    </row>
    <row r="45">
      <c r="A45" t="inlineStr">
        <is>
          <t>Ta = Ct hn^x</t>
        </is>
      </c>
      <c r="B45" s="8">
        <f>B43*Inputs!$B$16^B44</f>
        <v>0.740762573226245</v>
      </c>
      <c r="C45" s="8">
        <f>C43*Inputs!$B$16^C44</f>
        <v>0.431164934355701</v>
      </c>
      <c r="D45" t="inlineStr">
        <is>
          <t>sec</t>
        </is>
      </c>
      <c r="E45" t="inlineStr">
        <is>
          <t>Eq. 12.8-8 form; hn in ft</t>
        </is>
      </c>
    </row>
    <row r="46">
      <c r="A46" t="inlineStr">
        <is>
          <t>Cu Ta (period cap)</t>
        </is>
      </c>
      <c r="B46" s="8">
        <f>$B$10*B45</f>
        <v>1.03706760251674</v>
      </c>
      <c r="C46" s="8">
        <f>$B$10*C45</f>
        <v>0.603630908097981</v>
      </c>
      <c r="D46" t="inlineStr">
        <is>
          <t>sec</t>
        </is>
      </c>
      <c r="E46" t="inlineStr">
        <is>
          <t>Section 12.8.2</t>
        </is>
      </c>
    </row>
    <row r="47">
      <c r="A47" t="inlineStr">
        <is>
          <t>T used for Cs</t>
        </is>
      </c>
      <c r="B47" s="8">
        <f>IF(Inputs!B$29="",B45,MIN(Inputs!B$29,B46))</f>
        <v>1.03706760251674</v>
      </c>
      <c r="C47" s="8">
        <f>IF(Inputs!C$29="",C45,MIN(Inputs!C$29,C46))</f>
        <v>0.431164934355701</v>
      </c>
      <c r="D47" t="inlineStr">
        <is>
          <t>sec</t>
        </is>
      </c>
      <c r="E47" t="inlineStr">
        <is>
          <t>Analysis T capped at Cu Ta; Ta if no analysis T</t>
        </is>
      </c>
    </row>
    <row r="48">
      <c r="A48" t="inlineStr">
        <is>
          <t>12.8.1.3 max SDS applies?</t>
        </is>
      </c>
      <c r="B48" s="5">
        <f>IF(AND(Inputs!$B$19="YES",Inputs!$B$20="YES",Inputs!$B$21="YES",Inputs!$B$17&lt;&gt;"",Inputs!$B$17&lt;=5,OR(Inputs!$B$13="I",Inputs!$B$13="II"),Inputs!$B$14&lt;&gt;"",Inputs!$B$14&lt;&gt;"E",Inputs!$B$14&lt;&gt;"F",B47&lt;=0.5),"YES","NO")</f>
        <v/>
      </c>
      <c r="C48" s="5">
        <f>IF(AND(Inputs!$B$19="YES",Inputs!$B$20="YES",Inputs!$B$21="YES",Inputs!$B$17&lt;&gt;"",Inputs!$B$17&lt;=5,OR(Inputs!$B$13="I",Inputs!$B$13="II"),Inputs!$B$14&lt;&gt;"",Inputs!$B$14&lt;&gt;"E",Inputs!$B$14&lt;&gt;"F",C47&lt;=0.5),"YES","NO")</f>
        <v/>
      </c>
      <c r="D48" t="inlineStr"/>
      <c r="E48" t="inlineStr">
        <is>
          <t>All conditions + engineer confirmations</t>
        </is>
      </c>
    </row>
    <row r="49">
      <c r="A49" t="inlineStr">
        <is>
          <t>SDS used for Cs</t>
        </is>
      </c>
      <c r="B49" s="8">
        <f>IF(B48="YES",MIN(Inputs!$B$9,'Code Tables'!$B$17),Inputs!$B$9)</f>
        <v>0.85</v>
      </c>
      <c r="C49" s="8">
        <f>IF(C48="YES",MIN(Inputs!$B$9,'Code Tables'!$B$17),Inputs!$B$9)</f>
        <v>0.85</v>
      </c>
      <c r="D49" t="inlineStr">
        <is>
          <t>g</t>
        </is>
      </c>
      <c r="E49" t="inlineStr">
        <is>
          <t>12.8.1.3 cap (Code Tables B17) - VERIFY</t>
        </is>
      </c>
    </row>
    <row r="50">
      <c r="A50" t="inlineStr">
        <is>
          <t>R / Ie</t>
        </is>
      </c>
      <c r="B50" s="8">
        <f>B38/$B$5</f>
        <v>8</v>
      </c>
      <c r="C50" s="8">
        <f>C38/$B$5</f>
        <v>6</v>
      </c>
      <c r="D50" t="inlineStr"/>
      <c r="E50" t="inlineStr"/>
    </row>
    <row r="51">
      <c r="A51" t="inlineStr">
        <is>
          <t>Cs = SDS/(R/Ie)</t>
        </is>
      </c>
      <c r="B51" s="9">
        <f>B49/B50</f>
        <v>0.10625</v>
      </c>
      <c r="C51" s="9">
        <f>C49/C50</f>
        <v>0.141666666666667</v>
      </c>
      <c r="D51" t="inlineStr"/>
      <c r="E51" t="inlineStr">
        <is>
          <t>Eq. 12.8-2</t>
        </is>
      </c>
    </row>
    <row r="52">
      <c r="A52" t="inlineStr">
        <is>
          <t>Cs upper limit</t>
        </is>
      </c>
      <c r="B52" s="9">
        <f>IF(B47&lt;=Inputs!$B$12,Inputs!$B$10/(B47*B50),Inputs!$B$10*Inputs!$B$12/(B47^2*B50))</f>
        <v>0.0662926889560124</v>
      </c>
      <c r="C52" s="9">
        <f>IF(C47&lt;=Inputs!$B$12,Inputs!$B$10/(C47*C50),Inputs!$B$10*Inputs!$B$12/(C47^2*C50))</f>
        <v>0.212602323061466</v>
      </c>
      <c r="D52" t="inlineStr"/>
      <c r="E52" t="inlineStr">
        <is>
          <t>Eq. 12.8-3 (T&lt;=TL) / 12.8-4 (T&gt;TL)</t>
        </is>
      </c>
    </row>
    <row r="53">
      <c r="A53" t="inlineStr">
        <is>
          <t>Cs min = max(0.044 SDS Ie, 0.01)</t>
        </is>
      </c>
      <c r="B53" s="9">
        <f>MAX(0.044*B49*$B$5,0.01)</f>
        <v>0.0374</v>
      </c>
      <c r="C53" s="9">
        <f>MAX(0.044*C49*$B$5,0.01)</f>
        <v>0.0374</v>
      </c>
      <c r="D53" t="inlineStr"/>
      <c r="E53" t="inlineStr">
        <is>
          <t>Eq. 12.8-5</t>
        </is>
      </c>
    </row>
    <row r="54">
      <c r="A54" t="inlineStr">
        <is>
          <t>Cs min (S1 &gt;= 0.6g) = 0.5 S1/(R/Ie)</t>
        </is>
      </c>
      <c r="B54" s="9">
        <f>IF(Inputs!$B$11&gt;=0.6,0.5*Inputs!$B$11/B50,0)</f>
        <v>0</v>
      </c>
      <c r="C54" s="9">
        <f>IF(Inputs!$B$11&gt;=0.6,0.5*Inputs!$B$11/C50,0)</f>
        <v>0</v>
      </c>
      <c r="D54" t="inlineStr"/>
      <c r="E54" t="inlineStr">
        <is>
          <t>Eq. 12.8-6</t>
        </is>
      </c>
    </row>
    <row r="55">
      <c r="A55" t="inlineStr">
        <is>
          <t>Cs minimum (controlling)</t>
        </is>
      </c>
      <c r="B55" s="9">
        <f>MAX(B53,B54)</f>
        <v>0.0374</v>
      </c>
      <c r="C55" s="9">
        <f>MAX(C53,C54)</f>
        <v>0.0374</v>
      </c>
      <c r="D55" t="inlineStr"/>
      <c r="E55" t="inlineStr"/>
    </row>
    <row r="56">
      <c r="A56" s="10" t="inlineStr">
        <is>
          <t>Cs GOVERNING</t>
        </is>
      </c>
      <c r="B56" s="11">
        <f>MAX(MIN(B51,B52),B55)</f>
        <v>0.0662926889560124</v>
      </c>
      <c r="C56" s="11">
        <f>MAX(MIN(C51,C52),C55)</f>
        <v>0.141666666666667</v>
      </c>
      <c r="D56" t="inlineStr"/>
      <c r="E56" t="inlineStr">
        <is>
          <t>max(min(12.8-2, upper), minimum)</t>
        </is>
      </c>
    </row>
    <row r="57">
      <c r="A57" t="inlineStr">
        <is>
          <t>Governing check</t>
        </is>
      </c>
      <c r="B57" s="5">
        <f>IF(B55&gt;MIN(B51,B52),"Minimum Cs",IF(B52&lt;B51,"Period upper limit","SDS/(R/Ie)"))</f>
        <v/>
      </c>
      <c r="C57" s="5">
        <f>IF(C55&gt;MIN(C51,C52),"Minimum Cs",IF(C52&lt;C51,"Period upper limit","SDS/(R/Ie)"))</f>
        <v/>
      </c>
      <c r="D57" t="inlineStr"/>
      <c r="E57" t="inlineStr"/>
    </row>
    <row r="58">
      <c r="A58" t="inlineStr">
        <is>
          <t>Cs for upper system (vertical only)</t>
        </is>
      </c>
      <c r="B58" s="9">
        <f>IF(Inputs!B$24="vertical",MAX(MIN(B49/(B41/$B$5),IF(B47&lt;=Inputs!$B$12,Inputs!$B$10/(B47*(B41/$B$5)),Inputs!$B$10*Inputs!$B$12/(B47^2*(B41/$B$5)))),MAX(0.044*B49*$B$5,0.01),IF(Inputs!$B$11&gt;=0.6,0.5*Inputs!$B$11/(B41/$B$5),0)),"")</f>
        <v/>
      </c>
      <c r="C58" s="9">
        <f>IF(Inputs!C$24="vertical",MAX(MIN(C49/(C41/$B$5),IF(C47&lt;=Inputs!$B$12,Inputs!$B$10/(C47*(C41/$B$5)),Inputs!$B$10*Inputs!$B$12/(C47^2*(C41/$B$5)))),MAX(0.044*C49*$B$5,0.01),IF(Inputs!$B$11&gt;=0.6,0.5*Inputs!$B$11/(C41/$B$5),0)),"")</f>
        <v/>
      </c>
      <c r="D58" t="inlineStr"/>
      <c r="E58" t="inlineStr">
        <is>
          <t>Same equations with R upper</t>
        </is>
      </c>
    </row>
    <row r="59">
      <c r="A59" s="10" t="inlineStr">
        <is>
          <t>Base shear V = Cs W</t>
        </is>
      </c>
      <c r="B59" s="12">
        <f>IF(Inputs!$B$18="","",B56*Inputs!$B$18)</f>
        <v>99.4390334340186</v>
      </c>
      <c r="C59" s="12">
        <f>IF(Inputs!$B$18="","",C56*Inputs!$B$18)</f>
        <v>212.5</v>
      </c>
      <c r="D59" t="inlineStr">
        <is>
          <t>kips</t>
        </is>
      </c>
      <c r="E59" t="inlineStr">
        <is>
          <t>Section 12.8.1</t>
        </is>
      </c>
    </row>
    <row r="60">
      <c r="A60" s="10" t="inlineStr">
        <is>
          <t>Base shear V</t>
        </is>
      </c>
      <c r="B60" s="13">
        <f>IF(Inputs!$B$18="","",B59*1000)</f>
        <v>99439.0334340186</v>
      </c>
      <c r="C60" s="13">
        <f>IF(Inputs!$B$18="","",C59*1000)</f>
        <v>212500</v>
      </c>
      <c r="D60" t="inlineStr">
        <is>
          <t>lbs</t>
        </is>
      </c>
      <c r="E60" t="inlineStr">
        <is>
          <t>kips x 1000</t>
        </is>
      </c>
    </row>
  </sheetData>
  <mergeCells count="1">
    <mergeCell ref="A1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60" customWidth="1" min="2" max="2"/>
    <col width="10" customWidth="1" min="3" max="3"/>
    <col width="20" customWidth="1" min="4" max="4"/>
  </cols>
  <sheetData>
    <row r="1">
      <c r="A1" s="1" t="inlineStr">
        <is>
          <t>IMPORTED ASCE HAZARD EXCHANGE</t>
        </is>
      </c>
    </row>
    <row r="2"/>
    <row r="4">
      <c r="A4" s="2" t="inlineStr">
        <is>
          <t>key</t>
        </is>
      </c>
      <c r="B4" s="2" t="inlineStr">
        <is>
          <t>value</t>
        </is>
      </c>
      <c r="C4" s="2" t="inlineStr">
        <is>
          <t>unit</t>
        </is>
      </c>
      <c r="D4" s="2" t="inlineStr">
        <is>
          <t>source</t>
        </is>
      </c>
    </row>
    <row r="5">
      <c r="A5" t="inlineStr">
        <is>
          <t>schema_version</t>
        </is>
      </c>
      <c r="B5" t="inlineStr">
        <is>
          <t>BP-HZ-1</t>
        </is>
      </c>
      <c r="D5" t="inlineStr">
        <is>
          <t>CONTRACT</t>
        </is>
      </c>
    </row>
    <row r="6">
      <c r="A6" t="inlineStr">
        <is>
          <t>project_number</t>
        </is>
      </c>
      <c r="B6" t="inlineStr">
        <is>
          <t>HACKATHON-001</t>
        </is>
      </c>
      <c r="D6" t="inlineStr">
        <is>
          <t>USER</t>
        </is>
      </c>
    </row>
    <row r="7">
      <c r="A7" t="inlineStr">
        <is>
          <t>project_name</t>
        </is>
      </c>
      <c r="B7" t="inlineStr">
        <is>
          <t>FICTIONAL Hackathon Example</t>
        </is>
      </c>
      <c r="D7" t="inlineStr">
        <is>
          <t>USER</t>
        </is>
      </c>
    </row>
    <row r="8">
      <c r="A8" t="inlineStr">
        <is>
          <t>address</t>
        </is>
      </c>
      <c r="B8" t="inlineStr">
        <is>
          <t>SYNTHETIC EXAMPLE; NOT A VERIFIED LOCATION</t>
        </is>
      </c>
      <c r="D8" t="inlineStr">
        <is>
          <t>USER</t>
        </is>
      </c>
    </row>
    <row r="9">
      <c r="A9" t="inlineStr">
        <is>
          <t>latitude</t>
        </is>
      </c>
      <c r="B9" t="n">
        <v>37.77</v>
      </c>
      <c r="C9" t="inlineStr">
        <is>
          <t>deg</t>
        </is>
      </c>
      <c r="D9" t="inlineStr">
        <is>
          <t>USER CONFIRMED</t>
        </is>
      </c>
    </row>
    <row r="10">
      <c r="A10" t="inlineStr">
        <is>
          <t>longitude</t>
        </is>
      </c>
      <c r="B10" t="n">
        <v>-122.42</v>
      </c>
      <c r="C10" t="inlineStr">
        <is>
          <t>deg</t>
        </is>
      </c>
      <c r="D10" t="inlineStr">
        <is>
          <t>USER CONFIRMED</t>
        </is>
      </c>
    </row>
    <row r="11">
      <c r="A11" t="inlineStr">
        <is>
          <t>asce_edition</t>
        </is>
      </c>
      <c r="B11" t="inlineStr">
        <is>
          <t>7-22</t>
        </is>
      </c>
      <c r="D11" t="inlineStr">
        <is>
          <t>USER</t>
        </is>
      </c>
    </row>
    <row r="12">
      <c r="A12" t="inlineStr">
        <is>
          <t>risk_category</t>
        </is>
      </c>
      <c r="B12" t="inlineStr">
        <is>
          <t>II</t>
        </is>
      </c>
      <c r="D12" t="inlineStr">
        <is>
          <t>USER</t>
        </is>
      </c>
    </row>
    <row r="13">
      <c r="A13" t="inlineStr">
        <is>
          <t>site_class</t>
        </is>
      </c>
      <c r="B13" t="inlineStr">
        <is>
          <t>D</t>
        </is>
      </c>
      <c r="D13" t="inlineStr">
        <is>
          <t>USER</t>
        </is>
      </c>
    </row>
    <row r="14">
      <c r="A14" t="inlineStr">
        <is>
          <t>source_status</t>
        </is>
      </c>
      <c r="B14" t="inlineStr">
        <is>
          <t>SYNTHETIC_DEMO</t>
        </is>
      </c>
      <c r="D14" t="inlineStr">
        <is>
          <t>SYSTEM</t>
        </is>
      </c>
    </row>
    <row r="15">
      <c r="A15" t="inlineStr">
        <is>
          <t>engineer_confirmed</t>
        </is>
      </c>
      <c r="B15" t="inlineStr">
        <is>
          <t>NO</t>
        </is>
      </c>
      <c r="D15" t="inlineStr">
        <is>
          <t>SYSTEM</t>
        </is>
      </c>
    </row>
    <row r="16">
      <c r="A16" t="inlineStr">
        <is>
          <t>retrieved_utc</t>
        </is>
      </c>
      <c r="B16" t="inlineStr">
        <is>
          <t>2026-10-27T20:00:27.884323+00:00</t>
        </is>
      </c>
      <c r="D16" t="inlineStr">
        <is>
          <t>SYSTEM</t>
        </is>
      </c>
    </row>
    <row r="17">
      <c r="A17" t="inlineStr">
        <is>
          <t>ss_g</t>
        </is>
      </c>
      <c r="B17" t="n">
        <v>1.15</v>
      </c>
      <c r="C17" t="inlineStr">
        <is>
          <t>g</t>
        </is>
      </c>
      <c r="D17" t="inlineStr">
        <is>
          <t>ASCE</t>
        </is>
      </c>
    </row>
    <row r="18">
      <c r="A18" t="inlineStr">
        <is>
          <t>s1_g</t>
        </is>
      </c>
      <c r="B18" t="n">
        <v>0.45</v>
      </c>
      <c r="C18" t="inlineStr">
        <is>
          <t>g</t>
        </is>
      </c>
      <c r="D18" t="inlineStr">
        <is>
          <t>ASCE</t>
        </is>
      </c>
    </row>
    <row r="19">
      <c r="A19" t="inlineStr">
        <is>
          <t>sds_g</t>
        </is>
      </c>
      <c r="B19" t="n">
        <v>0.85</v>
      </c>
      <c r="C19" t="inlineStr">
        <is>
          <t>g</t>
        </is>
      </c>
      <c r="D19" t="inlineStr">
        <is>
          <t>ASCE</t>
        </is>
      </c>
    </row>
    <row r="20">
      <c r="A20" t="inlineStr">
        <is>
          <t>sd1_g</t>
        </is>
      </c>
      <c r="B20" t="n">
        <v>0.55</v>
      </c>
      <c r="C20" t="inlineStr">
        <is>
          <t>g</t>
        </is>
      </c>
      <c r="D20" t="inlineStr">
        <is>
          <t>ASCE</t>
        </is>
      </c>
    </row>
    <row r="21">
      <c r="A21" t="inlineStr">
        <is>
          <t>tl_sec</t>
        </is>
      </c>
      <c r="B21" t="n">
        <v>8</v>
      </c>
      <c r="C21" t="inlineStr">
        <is>
          <t>sec</t>
        </is>
      </c>
      <c r="D21" t="inlineStr">
        <is>
          <t>ASCE</t>
        </is>
      </c>
    </row>
    <row r="22">
      <c r="A22" t="inlineStr">
        <is>
          <t>sdc</t>
        </is>
      </c>
      <c r="B22" t="inlineStr">
        <is>
          <t>D</t>
        </is>
      </c>
      <c r="D22" t="inlineStr">
        <is>
          <t>ASCE</t>
        </is>
      </c>
    </row>
    <row r="23">
      <c r="A23" t="inlineStr">
        <is>
          <t>wind_mph</t>
        </is>
      </c>
      <c r="B23" t="n">
        <v>115</v>
      </c>
      <c r="C23" t="inlineStr">
        <is>
          <t>mph</t>
        </is>
      </c>
      <c r="D23" t="inlineStr">
        <is>
          <t>ASCE</t>
        </is>
      </c>
    </row>
    <row r="24">
      <c r="A24" t="inlineStr">
        <is>
          <t>ground_snow_psf</t>
        </is>
      </c>
      <c r="B24" t="n">
        <v>20</v>
      </c>
      <c r="C24" t="inlineStr">
        <is>
          <t>psf</t>
        </is>
      </c>
      <c r="D24" t="inlineStr">
        <is>
          <t>ASCE</t>
        </is>
      </c>
    </row>
    <row r="25">
      <c r="A25" t="inlineStr">
        <is>
          <t>warnings</t>
        </is>
      </c>
      <c r="B25" t="inlineStr">
        <is>
          <t>SYNTHETIC DEMO ONLY: fictional ASCE values. NOT FOR DESIGN. | App-generated PDF; NOT the official ASCE Hazard Tool Full Report.</t>
        </is>
      </c>
      <c r="D25" t="inlineStr">
        <is>
          <t>SYSTEM</t>
        </is>
      </c>
    </row>
  </sheetData>
  <mergeCells count="1">
    <mergeCell ref="A1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ENGINEERING REVIEW &amp; LIMITATIONS</t>
        </is>
      </c>
    </row>
    <row r="2"/>
    <row r="4">
      <c r="A4" s="10" t="inlineStr">
        <is>
          <t>RESULT STATUS</t>
        </is>
      </c>
    </row>
    <row r="5">
      <c r="A5" s="14" t="inlineStr">
        <is>
          <t>SYNTHETIC DEMO - NOT FOR DESIGN</t>
        </is>
      </c>
    </row>
    <row r="7">
      <c r="A7" s="10" t="inlineStr">
        <is>
          <t>NOTES</t>
        </is>
      </c>
    </row>
    <row r="8">
      <c r="A8" s="15" t="inlineStr">
        <is>
          <t>SYNTHETIC DATA - NOT FOR DESIGN OR CONSTRUCTION.</t>
        </is>
      </c>
    </row>
    <row r="9">
      <c r="A9" s="15" t="inlineStr">
        <is>
          <t>PRELIMINARY ASCE 7-22 ELF calculation. Engineer must confirm ELF eligibility (Table 12.6-1), all inputs, and system selection. Not a structural analysis.</t>
        </is>
      </c>
    </row>
    <row r="10">
      <c r="A10" s="15" t="inlineStr">
        <is>
          <t>Irregularities, redundancy, 12.2.5.4 height increases and vertical distribution are not checked.</t>
        </is>
      </c>
    </row>
    <row r="12">
      <c r="A12" s="10" t="inlineStr">
        <is>
          <t>WARNINGS (generated at export - not updated by Excel edits)</t>
        </is>
      </c>
    </row>
    <row r="13">
      <c r="A13" s="15" t="inlineStr">
        <is>
          <t>SDC computed from Tables 11.6-1/11.6-2 without the Section 11.6 exception (conservative).</t>
        </is>
      </c>
    </row>
    <row r="14">
      <c r="A14" s="15" t="inlineStr">
        <is>
          <t>X: analysis period 1.2 s capped at Cu*Ta = 1.037 s (Section 12.8.2). Drift per 12.8.6.2 may use the analysis period.</t>
        </is>
      </c>
    </row>
    <row r="16">
      <c r="A16" s="15" t="inlineStr">
        <is>
          <t>X: Single system. | Period: Cu*Ta cap (analysis T = 1.2 s exceeds Cu*Ta) | 12.8.1.3: Not requested</t>
        </is>
      </c>
    </row>
    <row r="17">
      <c r="A17" s="15" t="inlineStr">
        <is>
          <t>Y: Single system. | Period: Ta (no analysis period provided) | 12.8.1.3: Not requested</t>
        </is>
      </c>
    </row>
  </sheetData>
  <mergeCells count="1">
    <mergeCell ref="A1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10" customWidth="1" min="4" max="4"/>
    <col width="16" customWidth="1" min="5" max="5"/>
    <col width="7" customWidth="1" min="6" max="6"/>
    <col width="8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8" customWidth="1" min="14" max="14"/>
  </cols>
  <sheetData>
    <row r="1">
      <c r="A1" s="2" t="inlineStr">
        <is>
          <t>ID</t>
        </is>
      </c>
      <c r="B1" s="2" t="inlineStr">
        <is>
          <t>Category</t>
        </is>
      </c>
      <c r="C1" s="2" t="inlineStr">
        <is>
          <t>System</t>
        </is>
      </c>
      <c r="D1" s="2" t="inlineStr">
        <is>
          <t>System footnotes</t>
        </is>
      </c>
      <c r="E1" s="2" t="inlineStr">
        <is>
          <t>Detailing sections</t>
        </is>
      </c>
      <c r="F1" s="2" t="inlineStr">
        <is>
          <t>R</t>
        </is>
      </c>
      <c r="G1" s="2" t="inlineStr">
        <is>
          <t>Omega0</t>
        </is>
      </c>
      <c r="H1" s="2" t="inlineStr">
        <is>
          <t>Cd</t>
        </is>
      </c>
      <c r="I1" s="2" t="inlineStr">
        <is>
          <t>SDC B</t>
        </is>
      </c>
      <c r="J1" s="2" t="inlineStr">
        <is>
          <t>SDC C</t>
        </is>
      </c>
      <c r="K1" s="2" t="inlineStr">
        <is>
          <t>SDC D</t>
        </is>
      </c>
      <c r="L1" s="2" t="inlineStr">
        <is>
          <t>SDC E</t>
        </is>
      </c>
      <c r="M1" s="2" t="inlineStr">
        <is>
          <t>SDC F</t>
        </is>
      </c>
      <c r="N1" s="2" t="inlineStr">
        <is>
          <t>Other footnotes</t>
        </is>
      </c>
    </row>
    <row r="2">
      <c r="A2" t="inlineStr">
        <is>
          <t>A1</t>
        </is>
      </c>
      <c r="B2" t="inlineStr">
        <is>
          <t>A. BEARING WALL SYSTEMS</t>
        </is>
      </c>
      <c r="C2" t="inlineStr">
        <is>
          <t>Special reinforced concrete shear walls</t>
        </is>
      </c>
      <c r="D2" t="inlineStr">
        <is>
          <t>g, h</t>
        </is>
      </c>
      <c r="E2" t="inlineStr">
        <is>
          <t>14.2</t>
        </is>
      </c>
      <c r="F2" t="n">
        <v>5</v>
      </c>
      <c r="G2" t="n">
        <v>2.5</v>
      </c>
      <c r="H2" t="n">
        <v>5</v>
      </c>
      <c r="I2" t="inlineStr">
        <is>
          <t>NL</t>
        </is>
      </c>
      <c r="J2" t="inlineStr">
        <is>
          <t>NL</t>
        </is>
      </c>
      <c r="K2" t="n">
        <v>160</v>
      </c>
      <c r="L2" t="n">
        <v>160</v>
      </c>
      <c r="M2" t="n">
        <v>100</v>
      </c>
      <c r="N2" t="inlineStr"/>
    </row>
    <row r="3">
      <c r="A3" t="inlineStr">
        <is>
          <t>A2</t>
        </is>
      </c>
      <c r="B3" t="inlineStr">
        <is>
          <t>A. BEARING WALL SYSTEMS</t>
        </is>
      </c>
      <c r="C3" t="inlineStr">
        <is>
          <t>Reinforced concrete ductile coupled walls</t>
        </is>
      </c>
      <c r="D3" t="inlineStr">
        <is>
          <t>q</t>
        </is>
      </c>
      <c r="E3" t="inlineStr">
        <is>
          <t>14.2</t>
        </is>
      </c>
      <c r="F3" t="n">
        <v>8</v>
      </c>
      <c r="G3" t="n">
        <v>2.5</v>
      </c>
      <c r="H3" t="n">
        <v>8</v>
      </c>
      <c r="I3" t="inlineStr">
        <is>
          <t>NL</t>
        </is>
      </c>
      <c r="J3" t="inlineStr">
        <is>
          <t>NL</t>
        </is>
      </c>
      <c r="K3" t="n">
        <v>160</v>
      </c>
      <c r="L3" t="n">
        <v>160</v>
      </c>
      <c r="M3" t="n">
        <v>100</v>
      </c>
      <c r="N3" t="inlineStr"/>
    </row>
    <row r="4">
      <c r="A4" t="inlineStr">
        <is>
          <t>A3</t>
        </is>
      </c>
      <c r="B4" t="inlineStr">
        <is>
          <t>A. BEARING WALL SYSTEMS</t>
        </is>
      </c>
      <c r="C4" t="inlineStr">
        <is>
          <t>Ordinary reinforced concrete shear walls</t>
        </is>
      </c>
      <c r="D4" t="inlineStr">
        <is>
          <t>g</t>
        </is>
      </c>
      <c r="E4" t="inlineStr">
        <is>
          <t>14.2</t>
        </is>
      </c>
      <c r="F4" t="n">
        <v>4</v>
      </c>
      <c r="G4" t="n">
        <v>2.5</v>
      </c>
      <c r="H4" t="n">
        <v>4</v>
      </c>
      <c r="I4" t="inlineStr">
        <is>
          <t>NL</t>
        </is>
      </c>
      <c r="J4" t="inlineStr">
        <is>
          <t>NL</t>
        </is>
      </c>
      <c r="K4" t="inlineStr">
        <is>
          <t>NP</t>
        </is>
      </c>
      <c r="L4" t="inlineStr">
        <is>
          <t>NP</t>
        </is>
      </c>
      <c r="M4" t="inlineStr">
        <is>
          <t>NP</t>
        </is>
      </c>
      <c r="N4" t="inlineStr"/>
    </row>
    <row r="5">
      <c r="A5" t="inlineStr">
        <is>
          <t>A4</t>
        </is>
      </c>
      <c r="B5" t="inlineStr">
        <is>
          <t>A. BEARING WALL SYSTEMS</t>
        </is>
      </c>
      <c r="C5" t="inlineStr">
        <is>
          <t>Detailed plain concrete shear walls</t>
        </is>
      </c>
      <c r="D5" t="inlineStr">
        <is>
          <t>g</t>
        </is>
      </c>
      <c r="E5" t="inlineStr">
        <is>
          <t>14.2</t>
        </is>
      </c>
      <c r="F5" t="n">
        <v>2</v>
      </c>
      <c r="G5" t="n">
        <v>2.5</v>
      </c>
      <c r="H5" t="n">
        <v>2</v>
      </c>
      <c r="I5" t="inlineStr">
        <is>
          <t>NL</t>
        </is>
      </c>
      <c r="J5" t="inlineStr">
        <is>
          <t>NP</t>
        </is>
      </c>
      <c r="K5" t="inlineStr">
        <is>
          <t>NP</t>
        </is>
      </c>
      <c r="L5" t="inlineStr">
        <is>
          <t>NP</t>
        </is>
      </c>
      <c r="M5" t="inlineStr">
        <is>
          <t>NP</t>
        </is>
      </c>
      <c r="N5" t="inlineStr"/>
    </row>
    <row r="6">
      <c r="A6" t="inlineStr">
        <is>
          <t>A5</t>
        </is>
      </c>
      <c r="B6" t="inlineStr">
        <is>
          <t>A. BEARING WALL SYSTEMS</t>
        </is>
      </c>
      <c r="C6" t="inlineStr">
        <is>
          <t>Ordinary plain concrete shear walls</t>
        </is>
      </c>
      <c r="D6" t="inlineStr">
        <is>
          <t>g</t>
        </is>
      </c>
      <c r="E6" t="inlineStr">
        <is>
          <t>14.2</t>
        </is>
      </c>
      <c r="F6" t="n">
        <v>1.5</v>
      </c>
      <c r="G6" t="n">
        <v>2.5</v>
      </c>
      <c r="H6" t="n">
        <v>1.5</v>
      </c>
      <c r="I6" t="inlineStr">
        <is>
          <t>NL</t>
        </is>
      </c>
      <c r="J6" t="inlineStr">
        <is>
          <t>NP</t>
        </is>
      </c>
      <c r="K6" t="inlineStr">
        <is>
          <t>NP</t>
        </is>
      </c>
      <c r="L6" t="inlineStr">
        <is>
          <t>NP</t>
        </is>
      </c>
      <c r="M6" t="inlineStr">
        <is>
          <t>NP</t>
        </is>
      </c>
      <c r="N6" t="inlineStr"/>
    </row>
    <row r="7">
      <c r="A7" t="inlineStr">
        <is>
          <t>A6</t>
        </is>
      </c>
      <c r="B7" t="inlineStr">
        <is>
          <t>A. BEARING WALL SYSTEMS</t>
        </is>
      </c>
      <c r="C7" t="inlineStr">
        <is>
          <t>Intermediate precast shear walls</t>
        </is>
      </c>
      <c r="D7" t="inlineStr">
        <is>
          <t>g</t>
        </is>
      </c>
      <c r="E7" t="inlineStr">
        <is>
          <t>14.2</t>
        </is>
      </c>
      <c r="F7" t="n">
        <v>4</v>
      </c>
      <c r="G7" t="n">
        <v>2.5</v>
      </c>
      <c r="H7" t="n">
        <v>4</v>
      </c>
      <c r="I7" t="inlineStr">
        <is>
          <t>NL</t>
        </is>
      </c>
      <c r="J7" t="inlineStr">
        <is>
          <t>NL</t>
        </is>
      </c>
      <c r="K7" t="n">
        <v>40</v>
      </c>
      <c r="L7" t="n">
        <v>40</v>
      </c>
      <c r="M7" t="n">
        <v>40</v>
      </c>
      <c r="N7" t="inlineStr">
        <is>
          <t>D, E, F: i</t>
        </is>
      </c>
    </row>
    <row r="8">
      <c r="A8" t="inlineStr">
        <is>
          <t>A7</t>
        </is>
      </c>
      <c r="B8" t="inlineStr">
        <is>
          <t>A. BEARING WALL SYSTEMS</t>
        </is>
      </c>
      <c r="C8" t="inlineStr">
        <is>
          <t>Ordinary precast shear walls</t>
        </is>
      </c>
      <c r="D8" t="inlineStr">
        <is>
          <t>g</t>
        </is>
      </c>
      <c r="E8" t="inlineStr">
        <is>
          <t>14.2</t>
        </is>
      </c>
      <c r="F8" t="n">
        <v>3</v>
      </c>
      <c r="G8" t="n">
        <v>2.5</v>
      </c>
      <c r="H8" t="n">
        <v>3</v>
      </c>
      <c r="I8" t="inlineStr">
        <is>
          <t>NL</t>
        </is>
      </c>
      <c r="J8" t="inlineStr">
        <is>
          <t>NP</t>
        </is>
      </c>
      <c r="K8" t="inlineStr">
        <is>
          <t>NP</t>
        </is>
      </c>
      <c r="L8" t="inlineStr">
        <is>
          <t>NP</t>
        </is>
      </c>
      <c r="M8" t="inlineStr">
        <is>
          <t>NP</t>
        </is>
      </c>
      <c r="N8" t="inlineStr"/>
    </row>
    <row r="9">
      <c r="A9" t="inlineStr">
        <is>
          <t>A8</t>
        </is>
      </c>
      <c r="B9" t="inlineStr">
        <is>
          <t>A. BEARING WALL SYSTEMS</t>
        </is>
      </c>
      <c r="C9" t="inlineStr">
        <is>
          <t>Special reinforced masonry shear walls</t>
        </is>
      </c>
      <c r="D9" t="inlineStr"/>
      <c r="E9" t="inlineStr">
        <is>
          <t>14.4</t>
        </is>
      </c>
      <c r="F9" t="n">
        <v>5</v>
      </c>
      <c r="G9" t="n">
        <v>2.5</v>
      </c>
      <c r="H9" t="n">
        <v>3.5</v>
      </c>
      <c r="I9" t="inlineStr">
        <is>
          <t>NL</t>
        </is>
      </c>
      <c r="J9" t="inlineStr">
        <is>
          <t>NL</t>
        </is>
      </c>
      <c r="K9" t="n">
        <v>160</v>
      </c>
      <c r="L9" t="n">
        <v>160</v>
      </c>
      <c r="M9" t="n">
        <v>100</v>
      </c>
      <c r="N9" t="inlineStr"/>
    </row>
    <row r="10">
      <c r="A10" t="inlineStr">
        <is>
          <t>A9</t>
        </is>
      </c>
      <c r="B10" t="inlineStr">
        <is>
          <t>A. BEARING WALL SYSTEMS</t>
        </is>
      </c>
      <c r="C10" t="inlineStr">
        <is>
          <t>Intermediate reinforced masonry shear walls</t>
        </is>
      </c>
      <c r="D10" t="inlineStr"/>
      <c r="E10" t="inlineStr">
        <is>
          <t>14.4</t>
        </is>
      </c>
      <c r="F10" t="n">
        <v>3.5</v>
      </c>
      <c r="G10" t="n">
        <v>2.5</v>
      </c>
      <c r="H10" t="n">
        <v>2.25</v>
      </c>
      <c r="I10" t="inlineStr">
        <is>
          <t>NL</t>
        </is>
      </c>
      <c r="J10" t="inlineStr">
        <is>
          <t>NL</t>
        </is>
      </c>
      <c r="K10" t="inlineStr">
        <is>
          <t>NP</t>
        </is>
      </c>
      <c r="L10" t="inlineStr">
        <is>
          <t>NP</t>
        </is>
      </c>
      <c r="M10" t="inlineStr">
        <is>
          <t>NP</t>
        </is>
      </c>
      <c r="N10" t="inlineStr"/>
    </row>
    <row r="11">
      <c r="A11" t="inlineStr">
        <is>
          <t>A10</t>
        </is>
      </c>
      <c r="B11" t="inlineStr">
        <is>
          <t>A. BEARING WALL SYSTEMS</t>
        </is>
      </c>
      <c r="C11" t="inlineStr">
        <is>
          <t>Ordinary reinforced masonry shear walls</t>
        </is>
      </c>
      <c r="D11" t="inlineStr"/>
      <c r="E11" t="inlineStr">
        <is>
          <t>14.4</t>
        </is>
      </c>
      <c r="F11" t="n">
        <v>2</v>
      </c>
      <c r="G11" t="n">
        <v>2.5</v>
      </c>
      <c r="H11" t="n">
        <v>1.75</v>
      </c>
      <c r="I11" t="inlineStr">
        <is>
          <t>NL</t>
        </is>
      </c>
      <c r="J11" t="n">
        <v>160</v>
      </c>
      <c r="K11" t="inlineStr">
        <is>
          <t>NP</t>
        </is>
      </c>
      <c r="L11" t="inlineStr">
        <is>
          <t>NP</t>
        </is>
      </c>
      <c r="M11" t="inlineStr">
        <is>
          <t>NP</t>
        </is>
      </c>
      <c r="N11" t="inlineStr"/>
    </row>
    <row r="12">
      <c r="A12" t="inlineStr">
        <is>
          <t>A11</t>
        </is>
      </c>
      <c r="B12" t="inlineStr">
        <is>
          <t>A. BEARING WALL SYSTEMS</t>
        </is>
      </c>
      <c r="C12" t="inlineStr">
        <is>
          <t>Detailed plain masonry shear walls</t>
        </is>
      </c>
      <c r="D12" t="inlineStr"/>
      <c r="E12" t="inlineStr">
        <is>
          <t>14.4</t>
        </is>
      </c>
      <c r="F12" t="n">
        <v>2</v>
      </c>
      <c r="G12" t="n">
        <v>2.5</v>
      </c>
      <c r="H12" t="n">
        <v>1.75</v>
      </c>
      <c r="I12" t="inlineStr">
        <is>
          <t>NL</t>
        </is>
      </c>
      <c r="J12" t="inlineStr">
        <is>
          <t>NP</t>
        </is>
      </c>
      <c r="K12" t="inlineStr">
        <is>
          <t>NP</t>
        </is>
      </c>
      <c r="L12" t="inlineStr">
        <is>
          <t>NP</t>
        </is>
      </c>
      <c r="M12" t="inlineStr">
        <is>
          <t>NP</t>
        </is>
      </c>
      <c r="N12" t="inlineStr"/>
    </row>
    <row r="13">
      <c r="A13" t="inlineStr">
        <is>
          <t>A12</t>
        </is>
      </c>
      <c r="B13" t="inlineStr">
        <is>
          <t>A. BEARING WALL SYSTEMS</t>
        </is>
      </c>
      <c r="C13" t="inlineStr">
        <is>
          <t>Ordinary plain masonry shear walls</t>
        </is>
      </c>
      <c r="D13" t="inlineStr"/>
      <c r="E13" t="inlineStr">
        <is>
          <t>14.4</t>
        </is>
      </c>
      <c r="F13" t="n">
        <v>1.5</v>
      </c>
      <c r="G13" t="n">
        <v>2.5</v>
      </c>
      <c r="H13" t="n">
        <v>1.25</v>
      </c>
      <c r="I13" t="inlineStr">
        <is>
          <t>NL</t>
        </is>
      </c>
      <c r="J13" t="inlineStr">
        <is>
          <t>NP</t>
        </is>
      </c>
      <c r="K13" t="inlineStr">
        <is>
          <t>NP</t>
        </is>
      </c>
      <c r="L13" t="inlineStr">
        <is>
          <t>NP</t>
        </is>
      </c>
      <c r="M13" t="inlineStr">
        <is>
          <t>NP</t>
        </is>
      </c>
      <c r="N13" t="inlineStr"/>
    </row>
    <row r="14">
      <c r="A14" t="inlineStr">
        <is>
          <t>A13</t>
        </is>
      </c>
      <c r="B14" t="inlineStr">
        <is>
          <t>A. BEARING WALL SYSTEMS</t>
        </is>
      </c>
      <c r="C14" t="inlineStr">
        <is>
          <t>Prestressed masonry shear walls</t>
        </is>
      </c>
      <c r="D14" t="inlineStr"/>
      <c r="E14" t="inlineStr">
        <is>
          <t>14.4</t>
        </is>
      </c>
      <c r="F14" t="n">
        <v>1.5</v>
      </c>
      <c r="G14" t="n">
        <v>2.5</v>
      </c>
      <c r="H14" t="n">
        <v>1.75</v>
      </c>
      <c r="I14" t="inlineStr">
        <is>
          <t>NL</t>
        </is>
      </c>
      <c r="J14" t="inlineStr">
        <is>
          <t>NP</t>
        </is>
      </c>
      <c r="K14" t="inlineStr">
        <is>
          <t>NP</t>
        </is>
      </c>
      <c r="L14" t="inlineStr">
        <is>
          <t>NP</t>
        </is>
      </c>
      <c r="M14" t="inlineStr">
        <is>
          <t>NP</t>
        </is>
      </c>
      <c r="N14" t="inlineStr"/>
    </row>
    <row r="15">
      <c r="A15" t="inlineStr">
        <is>
          <t>A14</t>
        </is>
      </c>
      <c r="B15" t="inlineStr">
        <is>
          <t>A. BEARING WALL SYSTEMS</t>
        </is>
      </c>
      <c r="C15" t="inlineStr">
        <is>
          <t>Ordinary reinforced AAC masonry shear walls</t>
        </is>
      </c>
      <c r="D15" t="inlineStr"/>
      <c r="E15" t="inlineStr">
        <is>
          <t>14.4</t>
        </is>
      </c>
      <c r="F15" t="n">
        <v>2</v>
      </c>
      <c r="G15" t="n">
        <v>2.5</v>
      </c>
      <c r="H15" t="n">
        <v>2</v>
      </c>
      <c r="I15" t="inlineStr">
        <is>
          <t>NL</t>
        </is>
      </c>
      <c r="J15" t="n">
        <v>35</v>
      </c>
      <c r="K15" t="inlineStr">
        <is>
          <t>NP</t>
        </is>
      </c>
      <c r="L15" t="inlineStr">
        <is>
          <t>NP</t>
        </is>
      </c>
      <c r="M15" t="inlineStr">
        <is>
          <t>NP</t>
        </is>
      </c>
      <c r="N15" t="inlineStr"/>
    </row>
    <row r="16">
      <c r="A16" t="inlineStr">
        <is>
          <t>A15</t>
        </is>
      </c>
      <c r="B16" t="inlineStr">
        <is>
          <t>A. BEARING WALL SYSTEMS</t>
        </is>
      </c>
      <c r="C16" t="inlineStr">
        <is>
          <t>Ordinary plain AAC masonry shear walls</t>
        </is>
      </c>
      <c r="D16" t="inlineStr"/>
      <c r="E16" t="inlineStr">
        <is>
          <t>14.4</t>
        </is>
      </c>
      <c r="F16" t="n">
        <v>1.5</v>
      </c>
      <c r="G16" t="n">
        <v>2.5</v>
      </c>
      <c r="H16" t="n">
        <v>1.5</v>
      </c>
      <c r="I16" t="inlineStr">
        <is>
          <t>NL</t>
        </is>
      </c>
      <c r="J16" t="inlineStr">
        <is>
          <t>NP</t>
        </is>
      </c>
      <c r="K16" t="inlineStr">
        <is>
          <t>NP</t>
        </is>
      </c>
      <c r="L16" t="inlineStr">
        <is>
          <t>NP</t>
        </is>
      </c>
      <c r="M16" t="inlineStr">
        <is>
          <t>NP</t>
        </is>
      </c>
      <c r="N16" t="inlineStr"/>
    </row>
    <row r="17">
      <c r="A17" t="inlineStr">
        <is>
          <t>A16</t>
        </is>
      </c>
      <c r="B17" t="inlineStr">
        <is>
          <t>A. BEARING WALL SYSTEMS</t>
        </is>
      </c>
      <c r="C17" t="inlineStr">
        <is>
          <t>Light-frame (wood) walls sheathed with wood structural panels rated for shear resistance</t>
        </is>
      </c>
      <c r="D17" t="inlineStr"/>
      <c r="E17" t="inlineStr">
        <is>
          <t>14.5</t>
        </is>
      </c>
      <c r="F17" t="n">
        <v>6.5</v>
      </c>
      <c r="G17" t="n">
        <v>3</v>
      </c>
      <c r="H17" t="n">
        <v>4</v>
      </c>
      <c r="I17" t="inlineStr">
        <is>
          <t>NL</t>
        </is>
      </c>
      <c r="J17" t="inlineStr">
        <is>
          <t>NL</t>
        </is>
      </c>
      <c r="K17" t="n">
        <v>65</v>
      </c>
      <c r="L17" t="n">
        <v>65</v>
      </c>
      <c r="M17" t="n">
        <v>65</v>
      </c>
      <c r="N17" t="inlineStr"/>
    </row>
    <row r="18">
      <c r="A18" t="inlineStr">
        <is>
          <t>A17</t>
        </is>
      </c>
      <c r="B18" t="inlineStr">
        <is>
          <t>A. BEARING WALL SYSTEMS</t>
        </is>
      </c>
      <c r="C18" t="inlineStr">
        <is>
          <t>Light-frame (cold-formed steel) walls sheathed with wood structural panels rated for shear resistance or steel sheets</t>
        </is>
      </c>
      <c r="D18" t="inlineStr"/>
      <c r="E18" t="inlineStr">
        <is>
          <t>14.1</t>
        </is>
      </c>
      <c r="F18" t="n">
        <v>6.5</v>
      </c>
      <c r="G18" t="n">
        <v>3</v>
      </c>
      <c r="H18" t="n">
        <v>4</v>
      </c>
      <c r="I18" t="inlineStr">
        <is>
          <t>NL</t>
        </is>
      </c>
      <c r="J18" t="inlineStr">
        <is>
          <t>NL</t>
        </is>
      </c>
      <c r="K18" t="n">
        <v>65</v>
      </c>
      <c r="L18" t="n">
        <v>65</v>
      </c>
      <c r="M18" t="n">
        <v>65</v>
      </c>
      <c r="N18" t="inlineStr"/>
    </row>
    <row r="19">
      <c r="A19" t="inlineStr">
        <is>
          <t>A18</t>
        </is>
      </c>
      <c r="B19" t="inlineStr">
        <is>
          <t>A. BEARING WALL SYSTEMS</t>
        </is>
      </c>
      <c r="C19" t="inlineStr">
        <is>
          <t>Light-frame walls with shear panels of all other materials</t>
        </is>
      </c>
      <c r="D19" t="inlineStr"/>
      <c r="E19" t="inlineStr">
        <is>
          <t>14.1 and 14.5</t>
        </is>
      </c>
      <c r="F19" t="n">
        <v>2</v>
      </c>
      <c r="G19" t="n">
        <v>2.5</v>
      </c>
      <c r="H19" t="n">
        <v>2</v>
      </c>
      <c r="I19" t="inlineStr">
        <is>
          <t>NL</t>
        </is>
      </c>
      <c r="J19" t="inlineStr">
        <is>
          <t>NL</t>
        </is>
      </c>
      <c r="K19" t="n">
        <v>35</v>
      </c>
      <c r="L19" t="inlineStr">
        <is>
          <t>NP</t>
        </is>
      </c>
      <c r="M19" t="inlineStr">
        <is>
          <t>NP</t>
        </is>
      </c>
      <c r="N19" t="inlineStr"/>
    </row>
    <row r="20">
      <c r="A20" t="inlineStr">
        <is>
          <t>A19</t>
        </is>
      </c>
      <c r="B20" t="inlineStr">
        <is>
          <t>A. BEARING WALL SYSTEMS</t>
        </is>
      </c>
      <c r="C20" t="inlineStr">
        <is>
          <t>Light-frame (cold-formed steel) wall systems using flat strap bracing</t>
        </is>
      </c>
      <c r="D20" t="inlineStr"/>
      <c r="E20" t="inlineStr">
        <is>
          <t>14.1</t>
        </is>
      </c>
      <c r="F20" t="n">
        <v>4</v>
      </c>
      <c r="G20" t="n">
        <v>2</v>
      </c>
      <c r="H20" t="n">
        <v>3.5</v>
      </c>
      <c r="I20" t="inlineStr">
        <is>
          <t>NL</t>
        </is>
      </c>
      <c r="J20" t="inlineStr">
        <is>
          <t>NL</t>
        </is>
      </c>
      <c r="K20" t="n">
        <v>65</v>
      </c>
      <c r="L20" t="n">
        <v>65</v>
      </c>
      <c r="M20" t="n">
        <v>65</v>
      </c>
      <c r="N20" t="inlineStr"/>
    </row>
    <row r="21">
      <c r="A21" t="inlineStr">
        <is>
          <t>A20</t>
        </is>
      </c>
      <c r="B21" t="inlineStr">
        <is>
          <t>A. BEARING WALL SYSTEMS</t>
        </is>
      </c>
      <c r="C21" t="inlineStr">
        <is>
          <t>Cross-laminated timber shear walls</t>
        </is>
      </c>
      <c r="D21" t="inlineStr"/>
      <c r="E21" t="inlineStr">
        <is>
          <t>14.5</t>
        </is>
      </c>
      <c r="F21" t="n">
        <v>3</v>
      </c>
      <c r="G21" t="n">
        <v>3</v>
      </c>
      <c r="H21" t="n">
        <v>3</v>
      </c>
      <c r="I21" t="n">
        <v>65</v>
      </c>
      <c r="J21" t="n">
        <v>65</v>
      </c>
      <c r="K21" t="n">
        <v>65</v>
      </c>
      <c r="L21" t="n">
        <v>65</v>
      </c>
      <c r="M21" t="n">
        <v>65</v>
      </c>
      <c r="N21" t="inlineStr"/>
    </row>
    <row r="22">
      <c r="A22" t="inlineStr">
        <is>
          <t>A21</t>
        </is>
      </c>
      <c r="B22" t="inlineStr">
        <is>
          <t>A. BEARING WALL SYSTEMS</t>
        </is>
      </c>
      <c r="C22" t="inlineStr">
        <is>
          <t>Cross-laminated timber shear walls with shear resistance provided by high-aspect-ratio panels only</t>
        </is>
      </c>
      <c r="D22" t="inlineStr"/>
      <c r="E22" t="inlineStr">
        <is>
          <t>14.5</t>
        </is>
      </c>
      <c r="F22" t="n">
        <v>4</v>
      </c>
      <c r="G22" t="n">
        <v>3</v>
      </c>
      <c r="H22" t="n">
        <v>4</v>
      </c>
      <c r="I22" t="n">
        <v>65</v>
      </c>
      <c r="J22" t="n">
        <v>65</v>
      </c>
      <c r="K22" t="n">
        <v>65</v>
      </c>
      <c r="L22" t="n">
        <v>65</v>
      </c>
      <c r="M22" t="n">
        <v>65</v>
      </c>
      <c r="N22" t="inlineStr"/>
    </row>
    <row r="23">
      <c r="A23" t="inlineStr">
        <is>
          <t>B1</t>
        </is>
      </c>
      <c r="B23" t="inlineStr">
        <is>
          <t>B. BUILDING FRAME SYSTEMS</t>
        </is>
      </c>
      <c r="C23" t="inlineStr">
        <is>
          <t>Steel eccentrically braced frames</t>
        </is>
      </c>
      <c r="D23" t="inlineStr"/>
      <c r="E23" t="inlineStr">
        <is>
          <t>14.1</t>
        </is>
      </c>
      <c r="F23" t="n">
        <v>8</v>
      </c>
      <c r="G23" t="n">
        <v>2</v>
      </c>
      <c r="H23" t="n">
        <v>4</v>
      </c>
      <c r="I23" t="inlineStr">
        <is>
          <t>NL</t>
        </is>
      </c>
      <c r="J23" t="inlineStr">
        <is>
          <t>NL</t>
        </is>
      </c>
      <c r="K23" t="n">
        <v>160</v>
      </c>
      <c r="L23" t="n">
        <v>160</v>
      </c>
      <c r="M23" t="n">
        <v>100</v>
      </c>
      <c r="N23" t="inlineStr"/>
    </row>
    <row r="24">
      <c r="A24" t="inlineStr">
        <is>
          <t>B2</t>
        </is>
      </c>
      <c r="B24" t="inlineStr">
        <is>
          <t>B. BUILDING FRAME SYSTEMS</t>
        </is>
      </c>
      <c r="C24" t="inlineStr">
        <is>
          <t>Steel special concentrically braced frames</t>
        </is>
      </c>
      <c r="D24" t="inlineStr"/>
      <c r="E24" t="inlineStr">
        <is>
          <t>14.1</t>
        </is>
      </c>
      <c r="F24" t="n">
        <v>6</v>
      </c>
      <c r="G24" t="n">
        <v>2</v>
      </c>
      <c r="H24" t="n">
        <v>5</v>
      </c>
      <c r="I24" t="inlineStr">
        <is>
          <t>NL</t>
        </is>
      </c>
      <c r="J24" t="inlineStr">
        <is>
          <t>NL</t>
        </is>
      </c>
      <c r="K24" t="n">
        <v>160</v>
      </c>
      <c r="L24" t="n">
        <v>160</v>
      </c>
      <c r="M24" t="n">
        <v>100</v>
      </c>
      <c r="N24" t="inlineStr"/>
    </row>
    <row r="25">
      <c r="A25" t="inlineStr">
        <is>
          <t>B3</t>
        </is>
      </c>
      <c r="B25" t="inlineStr">
        <is>
          <t>B. BUILDING FRAME SYSTEMS</t>
        </is>
      </c>
      <c r="C25" t="inlineStr">
        <is>
          <t>Steel ordinary concentrically braced frames</t>
        </is>
      </c>
      <c r="D25" t="inlineStr"/>
      <c r="E25" t="inlineStr">
        <is>
          <t>14.1</t>
        </is>
      </c>
      <c r="F25" t="n">
        <v>3.25</v>
      </c>
      <c r="G25" t="n">
        <v>2</v>
      </c>
      <c r="H25" t="n">
        <v>3.25</v>
      </c>
      <c r="I25" t="inlineStr">
        <is>
          <t>NL</t>
        </is>
      </c>
      <c r="J25" t="inlineStr">
        <is>
          <t>NL</t>
        </is>
      </c>
      <c r="K25" t="n">
        <v>35</v>
      </c>
      <c r="L25" t="n">
        <v>35</v>
      </c>
      <c r="M25" t="inlineStr">
        <is>
          <t>NP</t>
        </is>
      </c>
      <c r="N25" t="inlineStr">
        <is>
          <t>D, E, F: j</t>
        </is>
      </c>
    </row>
    <row r="26">
      <c r="A26" t="inlineStr">
        <is>
          <t>B4</t>
        </is>
      </c>
      <c r="B26" t="inlineStr">
        <is>
          <t>B. BUILDING FRAME SYSTEMS</t>
        </is>
      </c>
      <c r="C26" t="inlineStr">
        <is>
          <t>Special reinforced concrete shear walls</t>
        </is>
      </c>
      <c r="D26" t="inlineStr">
        <is>
          <t>g, h</t>
        </is>
      </c>
      <c r="E26" t="inlineStr">
        <is>
          <t>14.2</t>
        </is>
      </c>
      <c r="F26" t="n">
        <v>6</v>
      </c>
      <c r="G26" t="n">
        <v>2.5</v>
      </c>
      <c r="H26" t="n">
        <v>5</v>
      </c>
      <c r="I26" t="inlineStr">
        <is>
          <t>NL</t>
        </is>
      </c>
      <c r="J26" t="inlineStr">
        <is>
          <t>NL</t>
        </is>
      </c>
      <c r="K26" t="n">
        <v>160</v>
      </c>
      <c r="L26" t="n">
        <v>160</v>
      </c>
      <c r="M26" t="n">
        <v>100</v>
      </c>
      <c r="N26" t="inlineStr"/>
    </row>
    <row r="27">
      <c r="A27" t="inlineStr">
        <is>
          <t>B5</t>
        </is>
      </c>
      <c r="B27" t="inlineStr">
        <is>
          <t>B. BUILDING FRAME SYSTEMS</t>
        </is>
      </c>
      <c r="C27" t="inlineStr">
        <is>
          <t>Reinforced concrete ductile coupled walls</t>
        </is>
      </c>
      <c r="D27" t="inlineStr">
        <is>
          <t>q</t>
        </is>
      </c>
      <c r="E27" t="inlineStr">
        <is>
          <t>14.2</t>
        </is>
      </c>
      <c r="F27" t="n">
        <v>8</v>
      </c>
      <c r="G27" t="n">
        <v>2.5</v>
      </c>
      <c r="H27" t="n">
        <v>8</v>
      </c>
      <c r="I27" t="inlineStr">
        <is>
          <t>NL</t>
        </is>
      </c>
      <c r="J27" t="inlineStr">
        <is>
          <t>NL</t>
        </is>
      </c>
      <c r="K27" t="n">
        <v>160</v>
      </c>
      <c r="L27" t="n">
        <v>160</v>
      </c>
      <c r="M27" t="n">
        <v>100</v>
      </c>
      <c r="N27" t="inlineStr"/>
    </row>
    <row r="28">
      <c r="A28" t="inlineStr">
        <is>
          <t>B6</t>
        </is>
      </c>
      <c r="B28" t="inlineStr">
        <is>
          <t>B. BUILDING FRAME SYSTEMS</t>
        </is>
      </c>
      <c r="C28" t="inlineStr">
        <is>
          <t>Ordinary reinforced concrete shear walls</t>
        </is>
      </c>
      <c r="D28" t="inlineStr">
        <is>
          <t>g</t>
        </is>
      </c>
      <c r="E28" t="inlineStr">
        <is>
          <t>14.2</t>
        </is>
      </c>
      <c r="F28" t="n">
        <v>5</v>
      </c>
      <c r="G28" t="n">
        <v>2.5</v>
      </c>
      <c r="H28" t="n">
        <v>4.5</v>
      </c>
      <c r="I28" t="inlineStr">
        <is>
          <t>NL</t>
        </is>
      </c>
      <c r="J28" t="inlineStr">
        <is>
          <t>NL</t>
        </is>
      </c>
      <c r="K28" t="inlineStr">
        <is>
          <t>NP</t>
        </is>
      </c>
      <c r="L28" t="inlineStr">
        <is>
          <t>NP</t>
        </is>
      </c>
      <c r="M28" t="inlineStr">
        <is>
          <t>NP</t>
        </is>
      </c>
      <c r="N28" t="inlineStr"/>
    </row>
    <row r="29">
      <c r="A29" t="inlineStr">
        <is>
          <t>B7</t>
        </is>
      </c>
      <c r="B29" t="inlineStr">
        <is>
          <t>B. BUILDING FRAME SYSTEMS</t>
        </is>
      </c>
      <c r="C29" t="inlineStr">
        <is>
          <t>Detailed plain concrete shear walls</t>
        </is>
      </c>
      <c r="D29" t="inlineStr">
        <is>
          <t>g</t>
        </is>
      </c>
      <c r="E29" t="inlineStr">
        <is>
          <t>14.2 and 14.2.2.7</t>
        </is>
      </c>
      <c r="F29" t="n">
        <v>2</v>
      </c>
      <c r="G29" t="n">
        <v>2.5</v>
      </c>
      <c r="H29" t="n">
        <v>2</v>
      </c>
      <c r="I29" t="inlineStr">
        <is>
          <t>NL</t>
        </is>
      </c>
      <c r="J29" t="inlineStr">
        <is>
          <t>NP</t>
        </is>
      </c>
      <c r="K29" t="inlineStr">
        <is>
          <t>NP</t>
        </is>
      </c>
      <c r="L29" t="inlineStr">
        <is>
          <t>NP</t>
        </is>
      </c>
      <c r="M29" t="inlineStr">
        <is>
          <t>NP</t>
        </is>
      </c>
      <c r="N29" t="inlineStr"/>
    </row>
    <row r="30">
      <c r="A30" t="inlineStr">
        <is>
          <t>B8</t>
        </is>
      </c>
      <c r="B30" t="inlineStr">
        <is>
          <t>B. BUILDING FRAME SYSTEMS</t>
        </is>
      </c>
      <c r="C30" t="inlineStr">
        <is>
          <t>Ordinary plain concrete shear walls</t>
        </is>
      </c>
      <c r="D30" t="inlineStr">
        <is>
          <t>g</t>
        </is>
      </c>
      <c r="E30" t="inlineStr">
        <is>
          <t>14.2</t>
        </is>
      </c>
      <c r="F30" t="n">
        <v>1.5</v>
      </c>
      <c r="G30" t="n">
        <v>2.5</v>
      </c>
      <c r="H30" t="n">
        <v>1.5</v>
      </c>
      <c r="I30" t="inlineStr">
        <is>
          <t>NL</t>
        </is>
      </c>
      <c r="J30" t="inlineStr">
        <is>
          <t>NP</t>
        </is>
      </c>
      <c r="K30" t="inlineStr">
        <is>
          <t>NP</t>
        </is>
      </c>
      <c r="L30" t="inlineStr">
        <is>
          <t>NP</t>
        </is>
      </c>
      <c r="M30" t="inlineStr">
        <is>
          <t>NP</t>
        </is>
      </c>
      <c r="N30" t="inlineStr"/>
    </row>
    <row r="31">
      <c r="A31" t="inlineStr">
        <is>
          <t>B9</t>
        </is>
      </c>
      <c r="B31" t="inlineStr">
        <is>
          <t>B. BUILDING FRAME SYSTEMS</t>
        </is>
      </c>
      <c r="C31" t="inlineStr">
        <is>
          <t>Intermediate precast shear walls</t>
        </is>
      </c>
      <c r="D31" t="inlineStr">
        <is>
          <t>g</t>
        </is>
      </c>
      <c r="E31" t="inlineStr">
        <is>
          <t>14.2</t>
        </is>
      </c>
      <c r="F31" t="n">
        <v>5</v>
      </c>
      <c r="G31" t="n">
        <v>2.5</v>
      </c>
      <c r="H31" t="n">
        <v>4.5</v>
      </c>
      <c r="I31" t="inlineStr">
        <is>
          <t>NL</t>
        </is>
      </c>
      <c r="J31" t="inlineStr">
        <is>
          <t>NL</t>
        </is>
      </c>
      <c r="K31" t="n">
        <v>40</v>
      </c>
      <c r="L31" t="n">
        <v>40</v>
      </c>
      <c r="M31" t="n">
        <v>40</v>
      </c>
      <c r="N31" t="inlineStr">
        <is>
          <t>D, E, F: i</t>
        </is>
      </c>
    </row>
    <row r="32">
      <c r="A32" t="inlineStr">
        <is>
          <t>B10</t>
        </is>
      </c>
      <c r="B32" t="inlineStr">
        <is>
          <t>B. BUILDING FRAME SYSTEMS</t>
        </is>
      </c>
      <c r="C32" t="inlineStr">
        <is>
          <t>Ordinary precast shear walls</t>
        </is>
      </c>
      <c r="D32" t="inlineStr">
        <is>
          <t>g</t>
        </is>
      </c>
      <c r="E32" t="inlineStr">
        <is>
          <t>14.2</t>
        </is>
      </c>
      <c r="F32" t="n">
        <v>4</v>
      </c>
      <c r="G32" t="n">
        <v>2.5</v>
      </c>
      <c r="H32" t="n">
        <v>4</v>
      </c>
      <c r="I32" t="inlineStr">
        <is>
          <t>NL</t>
        </is>
      </c>
      <c r="J32" t="inlineStr">
        <is>
          <t>NP</t>
        </is>
      </c>
      <c r="K32" t="inlineStr">
        <is>
          <t>NP</t>
        </is>
      </c>
      <c r="L32" t="inlineStr">
        <is>
          <t>NP</t>
        </is>
      </c>
      <c r="M32" t="inlineStr">
        <is>
          <t>NP</t>
        </is>
      </c>
      <c r="N32" t="inlineStr"/>
    </row>
    <row r="33">
      <c r="A33" t="inlineStr">
        <is>
          <t>B11</t>
        </is>
      </c>
      <c r="B33" t="inlineStr">
        <is>
          <t>B. BUILDING FRAME SYSTEMS</t>
        </is>
      </c>
      <c r="C33" t="inlineStr">
        <is>
          <t>Steel and concrete composite eccentrically braced frames</t>
        </is>
      </c>
      <c r="D33" t="inlineStr"/>
      <c r="E33" t="inlineStr">
        <is>
          <t>14.3</t>
        </is>
      </c>
      <c r="F33" t="n">
        <v>8</v>
      </c>
      <c r="G33" t="n">
        <v>2.5</v>
      </c>
      <c r="H33" t="n">
        <v>4</v>
      </c>
      <c r="I33" t="inlineStr">
        <is>
          <t>NL</t>
        </is>
      </c>
      <c r="J33" t="inlineStr">
        <is>
          <t>NL</t>
        </is>
      </c>
      <c r="K33" t="n">
        <v>160</v>
      </c>
      <c r="L33" t="n">
        <v>160</v>
      </c>
      <c r="M33" t="n">
        <v>100</v>
      </c>
      <c r="N33" t="inlineStr"/>
    </row>
    <row r="34">
      <c r="A34" t="inlineStr">
        <is>
          <t>B12</t>
        </is>
      </c>
      <c r="B34" t="inlineStr">
        <is>
          <t>B. BUILDING FRAME SYSTEMS</t>
        </is>
      </c>
      <c r="C34" t="inlineStr">
        <is>
          <t>Steel and concrete composite special concentrically braced frames</t>
        </is>
      </c>
      <c r="D34" t="inlineStr"/>
      <c r="E34" t="inlineStr">
        <is>
          <t>14.3</t>
        </is>
      </c>
      <c r="F34" t="n">
        <v>5</v>
      </c>
      <c r="G34" t="n">
        <v>2</v>
      </c>
      <c r="H34" t="n">
        <v>4.5</v>
      </c>
      <c r="I34" t="inlineStr">
        <is>
          <t>NL</t>
        </is>
      </c>
      <c r="J34" t="inlineStr">
        <is>
          <t>NL</t>
        </is>
      </c>
      <c r="K34" t="n">
        <v>160</v>
      </c>
      <c r="L34" t="n">
        <v>160</v>
      </c>
      <c r="M34" t="n">
        <v>100</v>
      </c>
      <c r="N34" t="inlineStr"/>
    </row>
    <row r="35">
      <c r="A35" t="inlineStr">
        <is>
          <t>B13</t>
        </is>
      </c>
      <c r="B35" t="inlineStr">
        <is>
          <t>B. BUILDING FRAME SYSTEMS</t>
        </is>
      </c>
      <c r="C35" t="inlineStr">
        <is>
          <t>Steel and concrete composite ordinary braced frames</t>
        </is>
      </c>
      <c r="D35" t="inlineStr"/>
      <c r="E35" t="inlineStr">
        <is>
          <t>14.3</t>
        </is>
      </c>
      <c r="F35" t="n">
        <v>3</v>
      </c>
      <c r="G35" t="n">
        <v>2</v>
      </c>
      <c r="H35" t="n">
        <v>3</v>
      </c>
      <c r="I35" t="inlineStr">
        <is>
          <t>NL</t>
        </is>
      </c>
      <c r="J35" t="inlineStr">
        <is>
          <t>NL</t>
        </is>
      </c>
      <c r="K35" t="inlineStr">
        <is>
          <t>NP</t>
        </is>
      </c>
      <c r="L35" t="inlineStr">
        <is>
          <t>NP</t>
        </is>
      </c>
      <c r="M35" t="inlineStr">
        <is>
          <t>NP</t>
        </is>
      </c>
      <c r="N35" t="inlineStr"/>
    </row>
    <row r="36">
      <c r="A36" t="inlineStr">
        <is>
          <t>B14</t>
        </is>
      </c>
      <c r="B36" t="inlineStr">
        <is>
          <t>B. BUILDING FRAME SYSTEMS</t>
        </is>
      </c>
      <c r="C36" t="inlineStr">
        <is>
          <t>Steel and concrete composite plate shear walls</t>
        </is>
      </c>
      <c r="D36" t="inlineStr"/>
      <c r="E36" t="inlineStr">
        <is>
          <t>14.3</t>
        </is>
      </c>
      <c r="F36" t="n">
        <v>6.5</v>
      </c>
      <c r="G36" t="n">
        <v>2.5</v>
      </c>
      <c r="H36" t="n">
        <v>5.5</v>
      </c>
      <c r="I36" t="inlineStr">
        <is>
          <t>NL</t>
        </is>
      </c>
      <c r="J36" t="inlineStr">
        <is>
          <t>NL</t>
        </is>
      </c>
      <c r="K36" t="n">
        <v>160</v>
      </c>
      <c r="L36" t="n">
        <v>160</v>
      </c>
      <c r="M36" t="n">
        <v>100</v>
      </c>
      <c r="N36" t="inlineStr"/>
    </row>
    <row r="37">
      <c r="A37" t="inlineStr">
        <is>
          <t>B15</t>
        </is>
      </c>
      <c r="B37" t="inlineStr">
        <is>
          <t>B. BUILDING FRAME SYSTEMS</t>
        </is>
      </c>
      <c r="C37" t="inlineStr">
        <is>
          <t>Steel and concrete composite special shear walls</t>
        </is>
      </c>
      <c r="D37" t="inlineStr"/>
      <c r="E37" t="inlineStr">
        <is>
          <t>14.3</t>
        </is>
      </c>
      <c r="F37" t="n">
        <v>6</v>
      </c>
      <c r="G37" t="n">
        <v>2.5</v>
      </c>
      <c r="H37" t="n">
        <v>5</v>
      </c>
      <c r="I37" t="inlineStr">
        <is>
          <t>NL</t>
        </is>
      </c>
      <c r="J37" t="inlineStr">
        <is>
          <t>NL</t>
        </is>
      </c>
      <c r="K37" t="n">
        <v>160</v>
      </c>
      <c r="L37" t="n">
        <v>160</v>
      </c>
      <c r="M37" t="n">
        <v>100</v>
      </c>
      <c r="N37" t="inlineStr"/>
    </row>
    <row r="38">
      <c r="A38" t="inlineStr">
        <is>
          <t>B16</t>
        </is>
      </c>
      <c r="B38" t="inlineStr">
        <is>
          <t>B. BUILDING FRAME SYSTEMS</t>
        </is>
      </c>
      <c r="C38" t="inlineStr">
        <is>
          <t>Steel and concrete composite ordinary shear walls</t>
        </is>
      </c>
      <c r="D38" t="inlineStr"/>
      <c r="E38" t="inlineStr">
        <is>
          <t>14.3</t>
        </is>
      </c>
      <c r="F38" t="n">
        <v>5</v>
      </c>
      <c r="G38" t="n">
        <v>2.5</v>
      </c>
      <c r="H38" t="n">
        <v>4.5</v>
      </c>
      <c r="I38" t="inlineStr">
        <is>
          <t>NL</t>
        </is>
      </c>
      <c r="J38" t="inlineStr">
        <is>
          <t>NL</t>
        </is>
      </c>
      <c r="K38" t="inlineStr">
        <is>
          <t>NP</t>
        </is>
      </c>
      <c r="L38" t="inlineStr">
        <is>
          <t>NP</t>
        </is>
      </c>
      <c r="M38" t="inlineStr">
        <is>
          <t>NP</t>
        </is>
      </c>
      <c r="N38" t="inlineStr"/>
    </row>
    <row r="39">
      <c r="A39" t="inlineStr">
        <is>
          <t>B17</t>
        </is>
      </c>
      <c r="B39" t="inlineStr">
        <is>
          <t>B. BUILDING FRAME SYSTEMS</t>
        </is>
      </c>
      <c r="C39" t="inlineStr">
        <is>
          <t>Special reinforced masonry shear walls</t>
        </is>
      </c>
      <c r="D39" t="inlineStr"/>
      <c r="E39" t="inlineStr">
        <is>
          <t>14.4</t>
        </is>
      </c>
      <c r="F39" t="n">
        <v>5.5</v>
      </c>
      <c r="G39" t="n">
        <v>2.5</v>
      </c>
      <c r="H39" t="n">
        <v>4</v>
      </c>
      <c r="I39" t="inlineStr">
        <is>
          <t>NL</t>
        </is>
      </c>
      <c r="J39" t="inlineStr">
        <is>
          <t>NL</t>
        </is>
      </c>
      <c r="K39" t="n">
        <v>160</v>
      </c>
      <c r="L39" t="n">
        <v>160</v>
      </c>
      <c r="M39" t="n">
        <v>100</v>
      </c>
      <c r="N39" t="inlineStr"/>
    </row>
    <row r="40">
      <c r="A40" t="inlineStr">
        <is>
          <t>B18</t>
        </is>
      </c>
      <c r="B40" t="inlineStr">
        <is>
          <t>B. BUILDING FRAME SYSTEMS</t>
        </is>
      </c>
      <c r="C40" t="inlineStr">
        <is>
          <t>Intermediate reinforced masonry shear walls</t>
        </is>
      </c>
      <c r="D40" t="inlineStr"/>
      <c r="E40" t="inlineStr">
        <is>
          <t>14.4</t>
        </is>
      </c>
      <c r="F40" t="n">
        <v>4</v>
      </c>
      <c r="G40" t="n">
        <v>2.5</v>
      </c>
      <c r="H40" t="n">
        <v>4</v>
      </c>
      <c r="I40" t="inlineStr">
        <is>
          <t>NL</t>
        </is>
      </c>
      <c r="J40" t="inlineStr">
        <is>
          <t>NL</t>
        </is>
      </c>
      <c r="K40" t="inlineStr">
        <is>
          <t>NP</t>
        </is>
      </c>
      <c r="L40" t="inlineStr">
        <is>
          <t>NP</t>
        </is>
      </c>
      <c r="M40" t="inlineStr">
        <is>
          <t>NP</t>
        </is>
      </c>
      <c r="N40" t="inlineStr"/>
    </row>
    <row r="41">
      <c r="A41" t="inlineStr">
        <is>
          <t>B19</t>
        </is>
      </c>
      <c r="B41" t="inlineStr">
        <is>
          <t>B. BUILDING FRAME SYSTEMS</t>
        </is>
      </c>
      <c r="C41" t="inlineStr">
        <is>
          <t>Ordinary reinforced masonry shear walls</t>
        </is>
      </c>
      <c r="D41" t="inlineStr"/>
      <c r="E41" t="inlineStr">
        <is>
          <t>14.4</t>
        </is>
      </c>
      <c r="F41" t="n">
        <v>2</v>
      </c>
      <c r="G41" t="n">
        <v>2.5</v>
      </c>
      <c r="H41" t="n">
        <v>2</v>
      </c>
      <c r="I41" t="inlineStr">
        <is>
          <t>NL</t>
        </is>
      </c>
      <c r="J41" t="n">
        <v>160</v>
      </c>
      <c r="K41" t="inlineStr">
        <is>
          <t>NP</t>
        </is>
      </c>
      <c r="L41" t="inlineStr">
        <is>
          <t>NP</t>
        </is>
      </c>
      <c r="M41" t="inlineStr">
        <is>
          <t>NP</t>
        </is>
      </c>
      <c r="N41" t="inlineStr"/>
    </row>
    <row r="42">
      <c r="A42" t="inlineStr">
        <is>
          <t>B20</t>
        </is>
      </c>
      <c r="B42" t="inlineStr">
        <is>
          <t>B. BUILDING FRAME SYSTEMS</t>
        </is>
      </c>
      <c r="C42" t="inlineStr">
        <is>
          <t>Detailed plain masonry shear walls</t>
        </is>
      </c>
      <c r="D42" t="inlineStr"/>
      <c r="E42" t="inlineStr">
        <is>
          <t>14.4</t>
        </is>
      </c>
      <c r="F42" t="n">
        <v>2</v>
      </c>
      <c r="G42" t="n">
        <v>2.5</v>
      </c>
      <c r="H42" t="n">
        <v>2</v>
      </c>
      <c r="I42" t="inlineStr">
        <is>
          <t>NL</t>
        </is>
      </c>
      <c r="J42" t="inlineStr">
        <is>
          <t>NP</t>
        </is>
      </c>
      <c r="K42" t="inlineStr">
        <is>
          <t>NP</t>
        </is>
      </c>
      <c r="L42" t="inlineStr">
        <is>
          <t>NP</t>
        </is>
      </c>
      <c r="M42" t="inlineStr">
        <is>
          <t>NP</t>
        </is>
      </c>
      <c r="N42" t="inlineStr"/>
    </row>
    <row r="43">
      <c r="A43" t="inlineStr">
        <is>
          <t>B21</t>
        </is>
      </c>
      <c r="B43" t="inlineStr">
        <is>
          <t>B. BUILDING FRAME SYSTEMS</t>
        </is>
      </c>
      <c r="C43" t="inlineStr">
        <is>
          <t>Ordinary plain masonry shear walls</t>
        </is>
      </c>
      <c r="D43" t="inlineStr"/>
      <c r="E43" t="inlineStr">
        <is>
          <t>14.4</t>
        </is>
      </c>
      <c r="F43" t="n">
        <v>1.5</v>
      </c>
      <c r="G43" t="n">
        <v>2.5</v>
      </c>
      <c r="H43" t="n">
        <v>1.25</v>
      </c>
      <c r="I43" t="inlineStr">
        <is>
          <t>NL</t>
        </is>
      </c>
      <c r="J43" t="inlineStr">
        <is>
          <t>NP</t>
        </is>
      </c>
      <c r="K43" t="inlineStr">
        <is>
          <t>NP</t>
        </is>
      </c>
      <c r="L43" t="inlineStr">
        <is>
          <t>NP</t>
        </is>
      </c>
      <c r="M43" t="inlineStr">
        <is>
          <t>NP</t>
        </is>
      </c>
      <c r="N43" t="inlineStr"/>
    </row>
    <row r="44">
      <c r="A44" t="inlineStr">
        <is>
          <t>B22</t>
        </is>
      </c>
      <c r="B44" t="inlineStr">
        <is>
          <t>B. BUILDING FRAME SYSTEMS</t>
        </is>
      </c>
      <c r="C44" t="inlineStr">
        <is>
          <t>Prestressed masonry shear walls</t>
        </is>
      </c>
      <c r="D44" t="inlineStr"/>
      <c r="E44" t="inlineStr">
        <is>
          <t>14.4</t>
        </is>
      </c>
      <c r="F44" t="n">
        <v>1.5</v>
      </c>
      <c r="G44" t="n">
        <v>2.5</v>
      </c>
      <c r="H44" t="n">
        <v>1.75</v>
      </c>
      <c r="I44" t="inlineStr">
        <is>
          <t>NL</t>
        </is>
      </c>
      <c r="J44" t="inlineStr">
        <is>
          <t>NP</t>
        </is>
      </c>
      <c r="K44" t="inlineStr">
        <is>
          <t>NP</t>
        </is>
      </c>
      <c r="L44" t="inlineStr">
        <is>
          <t>NP</t>
        </is>
      </c>
      <c r="M44" t="inlineStr">
        <is>
          <t>NP</t>
        </is>
      </c>
      <c r="N44" t="inlineStr"/>
    </row>
    <row r="45">
      <c r="A45" t="inlineStr">
        <is>
          <t>B23</t>
        </is>
      </c>
      <c r="B45" t="inlineStr">
        <is>
          <t>B. BUILDING FRAME SYSTEMS</t>
        </is>
      </c>
      <c r="C45" t="inlineStr">
        <is>
          <t>Light-frame (wood) walls sheathed with wood structural panels rated for shear resistance</t>
        </is>
      </c>
      <c r="D45" t="inlineStr"/>
      <c r="E45" t="inlineStr">
        <is>
          <t>14.5</t>
        </is>
      </c>
      <c r="F45" t="n">
        <v>7</v>
      </c>
      <c r="G45" t="n">
        <v>2.5</v>
      </c>
      <c r="H45" t="n">
        <v>4.5</v>
      </c>
      <c r="I45" t="inlineStr">
        <is>
          <t>NL</t>
        </is>
      </c>
      <c r="J45" t="inlineStr">
        <is>
          <t>NL</t>
        </is>
      </c>
      <c r="K45" t="n">
        <v>65</v>
      </c>
      <c r="L45" t="n">
        <v>65</v>
      </c>
      <c r="M45" t="n">
        <v>65</v>
      </c>
      <c r="N45" t="inlineStr"/>
    </row>
    <row r="46">
      <c r="A46" t="inlineStr">
        <is>
          <t>B24</t>
        </is>
      </c>
      <c r="B46" t="inlineStr">
        <is>
          <t>B. BUILDING FRAME SYSTEMS</t>
        </is>
      </c>
      <c r="C46" t="inlineStr">
        <is>
          <t>Light-frame (cold-formed steel) walls sheathed with wood structural panels rated for shear resistance or steel sheets</t>
        </is>
      </c>
      <c r="D46" t="inlineStr"/>
      <c r="E46" t="inlineStr">
        <is>
          <t>14.1</t>
        </is>
      </c>
      <c r="F46" t="n">
        <v>7</v>
      </c>
      <c r="G46" t="n">
        <v>2.5</v>
      </c>
      <c r="H46" t="n">
        <v>4.5</v>
      </c>
      <c r="I46" t="inlineStr">
        <is>
          <t>NL</t>
        </is>
      </c>
      <c r="J46" t="inlineStr">
        <is>
          <t>NL</t>
        </is>
      </c>
      <c r="K46" t="n">
        <v>65</v>
      </c>
      <c r="L46" t="n">
        <v>65</v>
      </c>
      <c r="M46" t="n">
        <v>65</v>
      </c>
      <c r="N46" t="inlineStr"/>
    </row>
    <row r="47">
      <c r="A47" t="inlineStr">
        <is>
          <t>B25</t>
        </is>
      </c>
      <c r="B47" t="inlineStr">
        <is>
          <t>B. BUILDING FRAME SYSTEMS</t>
        </is>
      </c>
      <c r="C47" t="inlineStr">
        <is>
          <t>Light-frame walls with shear panels of all other materials</t>
        </is>
      </c>
      <c r="D47" t="inlineStr"/>
      <c r="E47" t="inlineStr">
        <is>
          <t>14.1 and 14.5</t>
        </is>
      </c>
      <c r="F47" t="n">
        <v>2.5</v>
      </c>
      <c r="G47" t="n">
        <v>2.5</v>
      </c>
      <c r="H47" t="n">
        <v>2.5</v>
      </c>
      <c r="I47" t="inlineStr">
        <is>
          <t>NL</t>
        </is>
      </c>
      <c r="J47" t="inlineStr">
        <is>
          <t>NL</t>
        </is>
      </c>
      <c r="K47" t="n">
        <v>35</v>
      </c>
      <c r="L47" t="inlineStr">
        <is>
          <t>NP</t>
        </is>
      </c>
      <c r="M47" t="inlineStr">
        <is>
          <t>NP</t>
        </is>
      </c>
      <c r="N47" t="inlineStr"/>
    </row>
    <row r="48">
      <c r="A48" t="inlineStr">
        <is>
          <t>B26</t>
        </is>
      </c>
      <c r="B48" t="inlineStr">
        <is>
          <t>B. BUILDING FRAME SYSTEMS</t>
        </is>
      </c>
      <c r="C48" t="inlineStr">
        <is>
          <t>Steel buckling-restrained braced frames</t>
        </is>
      </c>
      <c r="D48" t="inlineStr"/>
      <c r="E48" t="inlineStr">
        <is>
          <t>14.1</t>
        </is>
      </c>
      <c r="F48" t="n">
        <v>8</v>
      </c>
      <c r="G48" t="n">
        <v>2.5</v>
      </c>
      <c r="H48" t="n">
        <v>5</v>
      </c>
      <c r="I48" t="inlineStr">
        <is>
          <t>NL</t>
        </is>
      </c>
      <c r="J48" t="inlineStr">
        <is>
          <t>NL</t>
        </is>
      </c>
      <c r="K48" t="n">
        <v>160</v>
      </c>
      <c r="L48" t="n">
        <v>160</v>
      </c>
      <c r="M48" t="n">
        <v>100</v>
      </c>
      <c r="N48" t="inlineStr"/>
    </row>
    <row r="49">
      <c r="A49" t="inlineStr">
        <is>
          <t>B27</t>
        </is>
      </c>
      <c r="B49" t="inlineStr">
        <is>
          <t>B. BUILDING FRAME SYSTEMS</t>
        </is>
      </c>
      <c r="C49" t="inlineStr">
        <is>
          <t>Steel special plate shear walls</t>
        </is>
      </c>
      <c r="D49" t="inlineStr"/>
      <c r="E49" t="inlineStr">
        <is>
          <t>14.1</t>
        </is>
      </c>
      <c r="F49" t="n">
        <v>7</v>
      </c>
      <c r="G49" t="n">
        <v>2</v>
      </c>
      <c r="H49" t="n">
        <v>6</v>
      </c>
      <c r="I49" t="inlineStr">
        <is>
          <t>NL</t>
        </is>
      </c>
      <c r="J49" t="inlineStr">
        <is>
          <t>NL</t>
        </is>
      </c>
      <c r="K49" t="n">
        <v>160</v>
      </c>
      <c r="L49" t="n">
        <v>160</v>
      </c>
      <c r="M49" t="n">
        <v>100</v>
      </c>
      <c r="N49" t="inlineStr"/>
    </row>
    <row r="50">
      <c r="A50" t="inlineStr">
        <is>
          <t>B28</t>
        </is>
      </c>
      <c r="B50" t="inlineStr">
        <is>
          <t>B. BUILDING FRAME SYSTEMS</t>
        </is>
      </c>
      <c r="C50" t="inlineStr">
        <is>
          <t>Steel and concrete coupled composite plate shear walls</t>
        </is>
      </c>
      <c r="D50" t="inlineStr"/>
      <c r="E50" t="inlineStr">
        <is>
          <t>14.3</t>
        </is>
      </c>
      <c r="F50" t="n">
        <v>8</v>
      </c>
      <c r="G50" t="n">
        <v>2.5</v>
      </c>
      <c r="H50" t="n">
        <v>5.5</v>
      </c>
      <c r="I50" t="inlineStr">
        <is>
          <t>NL</t>
        </is>
      </c>
      <c r="J50" t="inlineStr">
        <is>
          <t>NL</t>
        </is>
      </c>
      <c r="K50" t="n">
        <v>160</v>
      </c>
      <c r="L50" t="n">
        <v>160</v>
      </c>
      <c r="M50" t="n">
        <v>100</v>
      </c>
      <c r="N50" t="inlineStr"/>
    </row>
    <row r="51">
      <c r="A51" t="inlineStr">
        <is>
          <t>C1</t>
        </is>
      </c>
      <c r="B51" t="inlineStr">
        <is>
          <t>C. MOMENT-RESISTING FRAME SYSTEMS</t>
        </is>
      </c>
      <c r="C51" t="inlineStr">
        <is>
          <t>Steel special moment frames</t>
        </is>
      </c>
      <c r="D51" t="inlineStr"/>
      <c r="E51" t="inlineStr">
        <is>
          <t>14.1 and 12.2.5.5</t>
        </is>
      </c>
      <c r="F51" t="n">
        <v>8</v>
      </c>
      <c r="G51" t="n">
        <v>3</v>
      </c>
      <c r="H51" t="n">
        <v>5.5</v>
      </c>
      <c r="I51" t="inlineStr">
        <is>
          <t>NL</t>
        </is>
      </c>
      <c r="J51" t="inlineStr">
        <is>
          <t>NL</t>
        </is>
      </c>
      <c r="K51" t="inlineStr">
        <is>
          <t>NL</t>
        </is>
      </c>
      <c r="L51" t="inlineStr">
        <is>
          <t>NL</t>
        </is>
      </c>
      <c r="M51" t="inlineStr">
        <is>
          <t>NL</t>
        </is>
      </c>
      <c r="N51" t="inlineStr"/>
    </row>
    <row r="52">
      <c r="A52" t="inlineStr">
        <is>
          <t>C2</t>
        </is>
      </c>
      <c r="B52" t="inlineStr">
        <is>
          <t>C. MOMENT-RESISTING FRAME SYSTEMS</t>
        </is>
      </c>
      <c r="C52" t="inlineStr">
        <is>
          <t>Steel special truss moment frames</t>
        </is>
      </c>
      <c r="D52" t="inlineStr"/>
      <c r="E52" t="inlineStr">
        <is>
          <t>14.1</t>
        </is>
      </c>
      <c r="F52" t="n">
        <v>7</v>
      </c>
      <c r="G52" t="n">
        <v>3</v>
      </c>
      <c r="H52" t="n">
        <v>5.5</v>
      </c>
      <c r="I52" t="inlineStr">
        <is>
          <t>NL</t>
        </is>
      </c>
      <c r="J52" t="inlineStr">
        <is>
          <t>NL</t>
        </is>
      </c>
      <c r="K52" t="n">
        <v>160</v>
      </c>
      <c r="L52" t="n">
        <v>100</v>
      </c>
      <c r="M52" t="inlineStr">
        <is>
          <t>NP</t>
        </is>
      </c>
      <c r="N52" t="inlineStr"/>
    </row>
    <row r="53">
      <c r="A53" t="inlineStr">
        <is>
          <t>C3</t>
        </is>
      </c>
      <c r="B53" t="inlineStr">
        <is>
          <t>C. MOMENT-RESISTING FRAME SYSTEMS</t>
        </is>
      </c>
      <c r="C53" t="inlineStr">
        <is>
          <t>Steel intermediate moment frames</t>
        </is>
      </c>
      <c r="D53" t="inlineStr"/>
      <c r="E53" t="inlineStr">
        <is>
          <t>12.2.5.7 and 14.1</t>
        </is>
      </c>
      <c r="F53" t="n">
        <v>4.5</v>
      </c>
      <c r="G53" t="n">
        <v>3</v>
      </c>
      <c r="H53" t="n">
        <v>4</v>
      </c>
      <c r="I53" t="inlineStr">
        <is>
          <t>NL</t>
        </is>
      </c>
      <c r="J53" t="inlineStr">
        <is>
          <t>NL</t>
        </is>
      </c>
      <c r="K53" t="n">
        <v>35</v>
      </c>
      <c r="L53" t="inlineStr">
        <is>
          <t>NP</t>
        </is>
      </c>
      <c r="M53" t="inlineStr">
        <is>
          <t>NP</t>
        </is>
      </c>
      <c r="N53" t="inlineStr">
        <is>
          <t>D, E, F: k</t>
        </is>
      </c>
    </row>
    <row r="54">
      <c r="A54" t="inlineStr">
        <is>
          <t>C4</t>
        </is>
      </c>
      <c r="B54" t="inlineStr">
        <is>
          <t>C. MOMENT-RESISTING FRAME SYSTEMS</t>
        </is>
      </c>
      <c r="C54" t="inlineStr">
        <is>
          <t>Steel ordinary moment frames</t>
        </is>
      </c>
      <c r="D54" t="inlineStr"/>
      <c r="E54" t="inlineStr">
        <is>
          <t>12.2.5.6 and 14.1</t>
        </is>
      </c>
      <c r="F54" t="n">
        <v>3.5</v>
      </c>
      <c r="G54" t="n">
        <v>3</v>
      </c>
      <c r="H54" t="n">
        <v>3</v>
      </c>
      <c r="I54" t="inlineStr">
        <is>
          <t>NL</t>
        </is>
      </c>
      <c r="J54" t="inlineStr">
        <is>
          <t>NL</t>
        </is>
      </c>
      <c r="K54" t="inlineStr">
        <is>
          <t>NP</t>
        </is>
      </c>
      <c r="L54" t="inlineStr">
        <is>
          <t>NP</t>
        </is>
      </c>
      <c r="M54" t="inlineStr">
        <is>
          <t>NP</t>
        </is>
      </c>
      <c r="N54" t="inlineStr">
        <is>
          <t>D, E, F: l</t>
        </is>
      </c>
    </row>
    <row r="55">
      <c r="A55" t="inlineStr">
        <is>
          <t>C5</t>
        </is>
      </c>
      <c r="B55" t="inlineStr">
        <is>
          <t>C. MOMENT-RESISTING FRAME SYSTEMS</t>
        </is>
      </c>
      <c r="C55" t="inlineStr">
        <is>
          <t>Special reinforced concrete moment frames</t>
        </is>
      </c>
      <c r="D55" t="inlineStr">
        <is>
          <t>m</t>
        </is>
      </c>
      <c r="E55" t="inlineStr">
        <is>
          <t>12.2.5.5 and 14.2</t>
        </is>
      </c>
      <c r="F55" t="n">
        <v>8</v>
      </c>
      <c r="G55" t="n">
        <v>3</v>
      </c>
      <c r="H55" t="n">
        <v>5.5</v>
      </c>
      <c r="I55" t="inlineStr">
        <is>
          <t>NL</t>
        </is>
      </c>
      <c r="J55" t="inlineStr">
        <is>
          <t>NL</t>
        </is>
      </c>
      <c r="K55" t="inlineStr">
        <is>
          <t>NL</t>
        </is>
      </c>
      <c r="L55" t="inlineStr">
        <is>
          <t>NL</t>
        </is>
      </c>
      <c r="M55" t="inlineStr">
        <is>
          <t>NL</t>
        </is>
      </c>
      <c r="N55" t="inlineStr"/>
    </row>
    <row r="56">
      <c r="A56" t="inlineStr">
        <is>
          <t>C6</t>
        </is>
      </c>
      <c r="B56" t="inlineStr">
        <is>
          <t>C. MOMENT-RESISTING FRAME SYSTEMS</t>
        </is>
      </c>
      <c r="C56" t="inlineStr">
        <is>
          <t>Intermediate reinforced concrete moment frames</t>
        </is>
      </c>
      <c r="D56" t="inlineStr"/>
      <c r="E56" t="inlineStr">
        <is>
          <t>14.2</t>
        </is>
      </c>
      <c r="F56" t="n">
        <v>5</v>
      </c>
      <c r="G56" t="n">
        <v>3</v>
      </c>
      <c r="H56" t="n">
        <v>4.5</v>
      </c>
      <c r="I56" t="inlineStr">
        <is>
          <t>NL</t>
        </is>
      </c>
      <c r="J56" t="inlineStr">
        <is>
          <t>NL</t>
        </is>
      </c>
      <c r="K56" t="inlineStr">
        <is>
          <t>NP</t>
        </is>
      </c>
      <c r="L56" t="inlineStr">
        <is>
          <t>NP</t>
        </is>
      </c>
      <c r="M56" t="inlineStr">
        <is>
          <t>NP</t>
        </is>
      </c>
      <c r="N56" t="inlineStr"/>
    </row>
    <row r="57">
      <c r="A57" t="inlineStr">
        <is>
          <t>C7</t>
        </is>
      </c>
      <c r="B57" t="inlineStr">
        <is>
          <t>C. MOMENT-RESISTING FRAME SYSTEMS</t>
        </is>
      </c>
      <c r="C57" t="inlineStr">
        <is>
          <t>Ordinary reinforced concrete moment frames</t>
        </is>
      </c>
      <c r="D57" t="inlineStr"/>
      <c r="E57" t="inlineStr">
        <is>
          <t>14.2</t>
        </is>
      </c>
      <c r="F57" t="n">
        <v>3</v>
      </c>
      <c r="G57" t="n">
        <v>3</v>
      </c>
      <c r="H57" t="n">
        <v>2.5</v>
      </c>
      <c r="I57" t="inlineStr">
        <is>
          <t>NL</t>
        </is>
      </c>
      <c r="J57" t="inlineStr">
        <is>
          <t>NP</t>
        </is>
      </c>
      <c r="K57" t="inlineStr">
        <is>
          <t>NP</t>
        </is>
      </c>
      <c r="L57" t="inlineStr">
        <is>
          <t>NP</t>
        </is>
      </c>
      <c r="M57" t="inlineStr">
        <is>
          <t>NP</t>
        </is>
      </c>
      <c r="N57" t="inlineStr"/>
    </row>
    <row r="58">
      <c r="A58" t="inlineStr">
        <is>
          <t>C8</t>
        </is>
      </c>
      <c r="B58" t="inlineStr">
        <is>
          <t>C. MOMENT-RESISTING FRAME SYSTEMS</t>
        </is>
      </c>
      <c r="C58" t="inlineStr">
        <is>
          <t>Steel and concrete composite special moment frames</t>
        </is>
      </c>
      <c r="D58" t="inlineStr"/>
      <c r="E58" t="inlineStr">
        <is>
          <t>12.2.5.5 and 14.3</t>
        </is>
      </c>
      <c r="F58" t="n">
        <v>8</v>
      </c>
      <c r="G58" t="n">
        <v>3</v>
      </c>
      <c r="H58" t="n">
        <v>5.5</v>
      </c>
      <c r="I58" t="inlineStr">
        <is>
          <t>NL</t>
        </is>
      </c>
      <c r="J58" t="inlineStr">
        <is>
          <t>NL</t>
        </is>
      </c>
      <c r="K58" t="inlineStr">
        <is>
          <t>NL</t>
        </is>
      </c>
      <c r="L58" t="inlineStr">
        <is>
          <t>NL</t>
        </is>
      </c>
      <c r="M58" t="inlineStr">
        <is>
          <t>NL</t>
        </is>
      </c>
      <c r="N58" t="inlineStr"/>
    </row>
    <row r="59">
      <c r="A59" t="inlineStr">
        <is>
          <t>C9</t>
        </is>
      </c>
      <c r="B59" t="inlineStr">
        <is>
          <t>C. MOMENT-RESISTING FRAME SYSTEMS</t>
        </is>
      </c>
      <c r="C59" t="inlineStr">
        <is>
          <t>Steel and concrete composite intermediate moment frames</t>
        </is>
      </c>
      <c r="D59" t="inlineStr"/>
      <c r="E59" t="inlineStr">
        <is>
          <t>14.3</t>
        </is>
      </c>
      <c r="F59" t="n">
        <v>5</v>
      </c>
      <c r="G59" t="n">
        <v>3</v>
      </c>
      <c r="H59" t="n">
        <v>4.5</v>
      </c>
      <c r="I59" t="inlineStr">
        <is>
          <t>NL</t>
        </is>
      </c>
      <c r="J59" t="inlineStr">
        <is>
          <t>NL</t>
        </is>
      </c>
      <c r="K59" t="inlineStr">
        <is>
          <t>NP</t>
        </is>
      </c>
      <c r="L59" t="inlineStr">
        <is>
          <t>NP</t>
        </is>
      </c>
      <c r="M59" t="inlineStr">
        <is>
          <t>NP</t>
        </is>
      </c>
      <c r="N59" t="inlineStr"/>
    </row>
    <row r="60">
      <c r="A60" t="inlineStr">
        <is>
          <t>C10</t>
        </is>
      </c>
      <c r="B60" t="inlineStr">
        <is>
          <t>C. MOMENT-RESISTING FRAME SYSTEMS</t>
        </is>
      </c>
      <c r="C60" t="inlineStr">
        <is>
          <t>Steel and concrete composite partially restrained moment frames</t>
        </is>
      </c>
      <c r="D60" t="inlineStr"/>
      <c r="E60" t="inlineStr">
        <is>
          <t>14.3</t>
        </is>
      </c>
      <c r="F60" t="n">
        <v>6</v>
      </c>
      <c r="G60" t="n">
        <v>3</v>
      </c>
      <c r="H60" t="n">
        <v>5.5</v>
      </c>
      <c r="I60" t="n">
        <v>160</v>
      </c>
      <c r="J60" t="n">
        <v>160</v>
      </c>
      <c r="K60" t="n">
        <v>100</v>
      </c>
      <c r="L60" t="inlineStr">
        <is>
          <t>NP</t>
        </is>
      </c>
      <c r="M60" t="inlineStr">
        <is>
          <t>NP</t>
        </is>
      </c>
      <c r="N60" t="inlineStr"/>
    </row>
    <row r="61">
      <c r="A61" t="inlineStr">
        <is>
          <t>C11</t>
        </is>
      </c>
      <c r="B61" t="inlineStr">
        <is>
          <t>C. MOMENT-RESISTING FRAME SYSTEMS</t>
        </is>
      </c>
      <c r="C61" t="inlineStr">
        <is>
          <t>Steel and concrete composite ordinary moment frames</t>
        </is>
      </c>
      <c r="D61" t="inlineStr"/>
      <c r="E61" t="inlineStr">
        <is>
          <t>14.3</t>
        </is>
      </c>
      <c r="F61" t="n">
        <v>3</v>
      </c>
      <c r="G61" t="n">
        <v>3</v>
      </c>
      <c r="H61" t="n">
        <v>2.5</v>
      </c>
      <c r="I61" t="inlineStr">
        <is>
          <t>NL</t>
        </is>
      </c>
      <c r="J61" t="inlineStr">
        <is>
          <t>NP</t>
        </is>
      </c>
      <c r="K61" t="inlineStr">
        <is>
          <t>NP</t>
        </is>
      </c>
      <c r="L61" t="inlineStr">
        <is>
          <t>NP</t>
        </is>
      </c>
      <c r="M61" t="inlineStr">
        <is>
          <t>NP</t>
        </is>
      </c>
      <c r="N61" t="inlineStr"/>
    </row>
    <row r="62">
      <c r="A62" t="inlineStr">
        <is>
          <t>C12</t>
        </is>
      </c>
      <c r="B62" t="inlineStr">
        <is>
          <t>C. MOMENT-RESISTING FRAME SYSTEMS</t>
        </is>
      </c>
      <c r="C62" t="inlineStr">
        <is>
          <t>Cold-formed steel—special bolted moment frame</t>
        </is>
      </c>
      <c r="D62" t="inlineStr">
        <is>
          <t>n</t>
        </is>
      </c>
      <c r="E62" t="inlineStr">
        <is>
          <t>14.1</t>
        </is>
      </c>
      <c r="F62" t="n">
        <v>3.5</v>
      </c>
      <c r="G62" t="n">
        <v>3</v>
      </c>
      <c r="H62" t="n">
        <v>3.5</v>
      </c>
      <c r="I62" t="n">
        <v>35</v>
      </c>
      <c r="J62" t="n">
        <v>35</v>
      </c>
      <c r="K62" t="n">
        <v>35</v>
      </c>
      <c r="L62" t="n">
        <v>35</v>
      </c>
      <c r="M62" t="n">
        <v>35</v>
      </c>
      <c r="N62" t="inlineStr">
        <is>
          <t>Ω0: o</t>
        </is>
      </c>
    </row>
    <row r="63">
      <c r="A63" t="inlineStr">
        <is>
          <t>D1</t>
        </is>
      </c>
      <c r="B63" t="inlineStr">
        <is>
          <t>D. DUAL SYSTEMS WITH SPECIAL MOMENT FRAMES CAPABLE OF RESISTING AT LEAST 25% OF PRESCRIBED SEISMIC FORCES</t>
        </is>
      </c>
      <c r="C63" t="inlineStr">
        <is>
          <t>Steel eccentrically braced frames</t>
        </is>
      </c>
      <c r="D63" t="inlineStr"/>
      <c r="E63" t="inlineStr">
        <is>
          <t>14.1</t>
        </is>
      </c>
      <c r="F63" t="n">
        <v>8</v>
      </c>
      <c r="G63" t="n">
        <v>2.5</v>
      </c>
      <c r="H63" t="n">
        <v>4</v>
      </c>
      <c r="I63" t="inlineStr">
        <is>
          <t>NL</t>
        </is>
      </c>
      <c r="J63" t="inlineStr">
        <is>
          <t>NL</t>
        </is>
      </c>
      <c r="K63" t="inlineStr">
        <is>
          <t>NL</t>
        </is>
      </c>
      <c r="L63" t="inlineStr">
        <is>
          <t>NL</t>
        </is>
      </c>
      <c r="M63" t="inlineStr">
        <is>
          <t>NL</t>
        </is>
      </c>
      <c r="N63" t="inlineStr"/>
    </row>
    <row r="64">
      <c r="A64" t="inlineStr">
        <is>
          <t>D2</t>
        </is>
      </c>
      <c r="B64" t="inlineStr">
        <is>
          <t>D. DUAL SYSTEMS WITH SPECIAL MOMENT FRAMES CAPABLE OF RESISTING AT LEAST 25% OF PRESCRIBED SEISMIC FORCES</t>
        </is>
      </c>
      <c r="C64" t="inlineStr">
        <is>
          <t>Steel special concentrically braced frames</t>
        </is>
      </c>
      <c r="D64" t="inlineStr"/>
      <c r="E64" t="inlineStr">
        <is>
          <t>14.1</t>
        </is>
      </c>
      <c r="F64" t="n">
        <v>7</v>
      </c>
      <c r="G64" t="n">
        <v>2.5</v>
      </c>
      <c r="H64" t="n">
        <v>5.5</v>
      </c>
      <c r="I64" t="inlineStr">
        <is>
          <t>NL</t>
        </is>
      </c>
      <c r="J64" t="inlineStr">
        <is>
          <t>NL</t>
        </is>
      </c>
      <c r="K64" t="inlineStr">
        <is>
          <t>NL</t>
        </is>
      </c>
      <c r="L64" t="inlineStr">
        <is>
          <t>NL</t>
        </is>
      </c>
      <c r="M64" t="inlineStr">
        <is>
          <t>NL</t>
        </is>
      </c>
      <c r="N64" t="inlineStr"/>
    </row>
    <row r="65">
      <c r="A65" t="inlineStr">
        <is>
          <t>D3</t>
        </is>
      </c>
      <c r="B65" t="inlineStr">
        <is>
          <t>D. DUAL SYSTEMS WITH SPECIAL MOMENT FRAMES CAPABLE OF RESISTING AT LEAST 25% OF PRESCRIBED SEISMIC FORCES</t>
        </is>
      </c>
      <c r="C65" t="inlineStr">
        <is>
          <t>Special reinforced concrete shear walls</t>
        </is>
      </c>
      <c r="D65" t="inlineStr">
        <is>
          <t>g, h</t>
        </is>
      </c>
      <c r="E65" t="inlineStr">
        <is>
          <t>14.2</t>
        </is>
      </c>
      <c r="F65" t="n">
        <v>7</v>
      </c>
      <c r="G65" t="n">
        <v>2.5</v>
      </c>
      <c r="H65" t="n">
        <v>5.5</v>
      </c>
      <c r="I65" t="inlineStr">
        <is>
          <t>NL</t>
        </is>
      </c>
      <c r="J65" t="inlineStr">
        <is>
          <t>NL</t>
        </is>
      </c>
      <c r="K65" t="inlineStr">
        <is>
          <t>NL</t>
        </is>
      </c>
      <c r="L65" t="inlineStr">
        <is>
          <t>NL</t>
        </is>
      </c>
      <c r="M65" t="inlineStr">
        <is>
          <t>NL</t>
        </is>
      </c>
      <c r="N65" t="inlineStr"/>
    </row>
    <row r="66">
      <c r="A66" t="inlineStr">
        <is>
          <t>D4</t>
        </is>
      </c>
      <c r="B66" t="inlineStr">
        <is>
          <t>D. DUAL SYSTEMS WITH SPECIAL MOMENT FRAMES CAPABLE OF RESISTING AT LEAST 25% OF PRESCRIBED SEISMIC FORCES</t>
        </is>
      </c>
      <c r="C66" t="inlineStr">
        <is>
          <t>Reinforced concrete ductile coupled walls</t>
        </is>
      </c>
      <c r="D66" t="inlineStr">
        <is>
          <t>q</t>
        </is>
      </c>
      <c r="E66" t="inlineStr">
        <is>
          <t>14.2</t>
        </is>
      </c>
      <c r="F66" t="n">
        <v>8</v>
      </c>
      <c r="G66" t="n">
        <v>2.5</v>
      </c>
      <c r="H66" t="n">
        <v>8</v>
      </c>
      <c r="I66" t="inlineStr">
        <is>
          <t>NL</t>
        </is>
      </c>
      <c r="J66" t="inlineStr">
        <is>
          <t>NL</t>
        </is>
      </c>
      <c r="K66" t="inlineStr">
        <is>
          <t>NL</t>
        </is>
      </c>
      <c r="L66" t="inlineStr">
        <is>
          <t>NL</t>
        </is>
      </c>
      <c r="M66" t="inlineStr">
        <is>
          <t>NL</t>
        </is>
      </c>
      <c r="N66" t="inlineStr"/>
    </row>
    <row r="67">
      <c r="A67" t="inlineStr">
        <is>
          <t>D5</t>
        </is>
      </c>
      <c r="B67" t="inlineStr">
        <is>
          <t>D. DUAL SYSTEMS WITH SPECIAL MOMENT FRAMES CAPABLE OF RESISTING AT LEAST 25% OF PRESCRIBED SEISMIC FORCES</t>
        </is>
      </c>
      <c r="C67" t="inlineStr">
        <is>
          <t>Ordinary reinforced concrete shear walls</t>
        </is>
      </c>
      <c r="D67" t="inlineStr">
        <is>
          <t>g</t>
        </is>
      </c>
      <c r="E67" t="inlineStr">
        <is>
          <t>14.2</t>
        </is>
      </c>
      <c r="F67" t="n">
        <v>6</v>
      </c>
      <c r="G67" t="n">
        <v>2.5</v>
      </c>
      <c r="H67" t="n">
        <v>5</v>
      </c>
      <c r="I67" t="inlineStr">
        <is>
          <t>NL</t>
        </is>
      </c>
      <c r="J67" t="inlineStr">
        <is>
          <t>NL</t>
        </is>
      </c>
      <c r="K67" t="inlineStr">
        <is>
          <t>NP</t>
        </is>
      </c>
      <c r="L67" t="inlineStr">
        <is>
          <t>NP</t>
        </is>
      </c>
      <c r="M67" t="inlineStr">
        <is>
          <t>NP</t>
        </is>
      </c>
      <c r="N67" t="inlineStr"/>
    </row>
    <row r="68">
      <c r="A68" t="inlineStr">
        <is>
          <t>D6</t>
        </is>
      </c>
      <c r="B68" t="inlineStr">
        <is>
          <t>D. DUAL SYSTEMS WITH SPECIAL MOMENT FRAMES CAPABLE OF RESISTING AT LEAST 25% OF PRESCRIBED SEISMIC FORCES</t>
        </is>
      </c>
      <c r="C68" t="inlineStr">
        <is>
          <t>Steel and concrete composite eccentrically braced frames</t>
        </is>
      </c>
      <c r="D68" t="inlineStr"/>
      <c r="E68" t="inlineStr">
        <is>
          <t>14.3</t>
        </is>
      </c>
      <c r="F68" t="n">
        <v>8</v>
      </c>
      <c r="G68" t="n">
        <v>2.5</v>
      </c>
      <c r="H68" t="n">
        <v>4</v>
      </c>
      <c r="I68" t="inlineStr">
        <is>
          <t>NL</t>
        </is>
      </c>
      <c r="J68" t="inlineStr">
        <is>
          <t>NL</t>
        </is>
      </c>
      <c r="K68" t="inlineStr">
        <is>
          <t>NL</t>
        </is>
      </c>
      <c r="L68" t="inlineStr">
        <is>
          <t>NL</t>
        </is>
      </c>
      <c r="M68" t="inlineStr">
        <is>
          <t>NL</t>
        </is>
      </c>
      <c r="N68" t="inlineStr"/>
    </row>
    <row r="69">
      <c r="A69" t="inlineStr">
        <is>
          <t>D7</t>
        </is>
      </c>
      <c r="B69" t="inlineStr">
        <is>
          <t>D. DUAL SYSTEMS WITH SPECIAL MOMENT FRAMES CAPABLE OF RESISTING AT LEAST 25% OF PRESCRIBED SEISMIC FORCES</t>
        </is>
      </c>
      <c r="C69" t="inlineStr">
        <is>
          <t>Steel and concrete composite special concentrically braced frames</t>
        </is>
      </c>
      <c r="D69" t="inlineStr"/>
      <c r="E69" t="inlineStr">
        <is>
          <t>14.3</t>
        </is>
      </c>
      <c r="F69" t="n">
        <v>6</v>
      </c>
      <c r="G69" t="n">
        <v>2.5</v>
      </c>
      <c r="H69" t="n">
        <v>5</v>
      </c>
      <c r="I69" t="inlineStr">
        <is>
          <t>NL</t>
        </is>
      </c>
      <c r="J69" t="inlineStr">
        <is>
          <t>NL</t>
        </is>
      </c>
      <c r="K69" t="inlineStr">
        <is>
          <t>NL</t>
        </is>
      </c>
      <c r="L69" t="inlineStr">
        <is>
          <t>NL</t>
        </is>
      </c>
      <c r="M69" t="inlineStr">
        <is>
          <t>NL</t>
        </is>
      </c>
      <c r="N69" t="inlineStr"/>
    </row>
    <row r="70">
      <c r="A70" t="inlineStr">
        <is>
          <t>D8</t>
        </is>
      </c>
      <c r="B70" t="inlineStr">
        <is>
          <t>D. DUAL SYSTEMS WITH SPECIAL MOMENT FRAMES CAPABLE OF RESISTING AT LEAST 25% OF PRESCRIBED SEISMIC FORCES</t>
        </is>
      </c>
      <c r="C70" t="inlineStr">
        <is>
          <t>Steel and concrete composite plate shear walls</t>
        </is>
      </c>
      <c r="D70" t="inlineStr"/>
      <c r="E70" t="inlineStr">
        <is>
          <t>14.3</t>
        </is>
      </c>
      <c r="F70" t="n">
        <v>7.5</v>
      </c>
      <c r="G70" t="n">
        <v>2.5</v>
      </c>
      <c r="H70" t="n">
        <v>6</v>
      </c>
      <c r="I70" t="inlineStr">
        <is>
          <t>NL</t>
        </is>
      </c>
      <c r="J70" t="inlineStr">
        <is>
          <t>NL</t>
        </is>
      </c>
      <c r="K70" t="inlineStr">
        <is>
          <t>NL</t>
        </is>
      </c>
      <c r="L70" t="inlineStr">
        <is>
          <t>NL</t>
        </is>
      </c>
      <c r="M70" t="inlineStr">
        <is>
          <t>NL</t>
        </is>
      </c>
      <c r="N70" t="inlineStr"/>
    </row>
    <row r="71">
      <c r="A71" t="inlineStr">
        <is>
          <t>D9</t>
        </is>
      </c>
      <c r="B71" t="inlineStr">
        <is>
          <t>D. DUAL SYSTEMS WITH SPECIAL MOMENT FRAMES CAPABLE OF RESISTING AT LEAST 25% OF PRESCRIBED SEISMIC FORCES</t>
        </is>
      </c>
      <c r="C71" t="inlineStr">
        <is>
          <t>Steel and concrete composite special shear walls</t>
        </is>
      </c>
      <c r="D71" t="inlineStr"/>
      <c r="E71" t="inlineStr">
        <is>
          <t>14.3</t>
        </is>
      </c>
      <c r="F71" t="n">
        <v>7</v>
      </c>
      <c r="G71" t="n">
        <v>2.5</v>
      </c>
      <c r="H71" t="n">
        <v>6</v>
      </c>
      <c r="I71" t="inlineStr">
        <is>
          <t>NL</t>
        </is>
      </c>
      <c r="J71" t="inlineStr">
        <is>
          <t>NL</t>
        </is>
      </c>
      <c r="K71" t="inlineStr">
        <is>
          <t>NL</t>
        </is>
      </c>
      <c r="L71" t="inlineStr">
        <is>
          <t>NL</t>
        </is>
      </c>
      <c r="M71" t="inlineStr">
        <is>
          <t>NL</t>
        </is>
      </c>
      <c r="N71" t="inlineStr"/>
    </row>
    <row r="72">
      <c r="A72" t="inlineStr">
        <is>
          <t>D10</t>
        </is>
      </c>
      <c r="B72" t="inlineStr">
        <is>
          <t>D. DUAL SYSTEMS WITH SPECIAL MOMENT FRAMES CAPABLE OF RESISTING AT LEAST 25% OF PRESCRIBED SEISMIC FORCES</t>
        </is>
      </c>
      <c r="C72" t="inlineStr">
        <is>
          <t>Steel and concrete composite ordinary shear walls</t>
        </is>
      </c>
      <c r="D72" t="inlineStr"/>
      <c r="E72" t="inlineStr">
        <is>
          <t>14.3</t>
        </is>
      </c>
      <c r="F72" t="n">
        <v>6</v>
      </c>
      <c r="G72" t="n">
        <v>2.5</v>
      </c>
      <c r="H72" t="n">
        <v>5</v>
      </c>
      <c r="I72" t="inlineStr">
        <is>
          <t>NL</t>
        </is>
      </c>
      <c r="J72" t="inlineStr">
        <is>
          <t>NL</t>
        </is>
      </c>
      <c r="K72" t="inlineStr">
        <is>
          <t>NP</t>
        </is>
      </c>
      <c r="L72" t="inlineStr">
        <is>
          <t>NP</t>
        </is>
      </c>
      <c r="M72" t="inlineStr">
        <is>
          <t>NP</t>
        </is>
      </c>
      <c r="N72" t="inlineStr"/>
    </row>
    <row r="73">
      <c r="A73" t="inlineStr">
        <is>
          <t>D11</t>
        </is>
      </c>
      <c r="B73" t="inlineStr">
        <is>
          <t>D. DUAL SYSTEMS WITH SPECIAL MOMENT FRAMES CAPABLE OF RESISTING AT LEAST 25% OF PRESCRIBED SEISMIC FORCES</t>
        </is>
      </c>
      <c r="C73" t="inlineStr">
        <is>
          <t>Special reinforced masonry shear walls</t>
        </is>
      </c>
      <c r="D73" t="inlineStr"/>
      <c r="E73" t="inlineStr">
        <is>
          <t>14.4</t>
        </is>
      </c>
      <c r="F73" t="n">
        <v>5.5</v>
      </c>
      <c r="G73" t="n">
        <v>3</v>
      </c>
      <c r="H73" t="n">
        <v>5</v>
      </c>
      <c r="I73" t="inlineStr">
        <is>
          <t>NL</t>
        </is>
      </c>
      <c r="J73" t="inlineStr">
        <is>
          <t>NL</t>
        </is>
      </c>
      <c r="K73" t="inlineStr">
        <is>
          <t>NL</t>
        </is>
      </c>
      <c r="L73" t="inlineStr">
        <is>
          <t>NL</t>
        </is>
      </c>
      <c r="M73" t="inlineStr">
        <is>
          <t>NL</t>
        </is>
      </c>
      <c r="N73" t="inlineStr"/>
    </row>
    <row r="74">
      <c r="A74" t="inlineStr">
        <is>
          <t>D12</t>
        </is>
      </c>
      <c r="B74" t="inlineStr">
        <is>
          <t>D. DUAL SYSTEMS WITH SPECIAL MOMENT FRAMES CAPABLE OF RESISTING AT LEAST 25% OF PRESCRIBED SEISMIC FORCES</t>
        </is>
      </c>
      <c r="C74" t="inlineStr">
        <is>
          <t>Intermediate reinforced masonry shear walls</t>
        </is>
      </c>
      <c r="D74" t="inlineStr"/>
      <c r="E74" t="inlineStr">
        <is>
          <t>14.4</t>
        </is>
      </c>
      <c r="F74" t="n">
        <v>4</v>
      </c>
      <c r="G74" t="n">
        <v>3</v>
      </c>
      <c r="H74" t="n">
        <v>3.5</v>
      </c>
      <c r="I74" t="inlineStr">
        <is>
          <t>NL</t>
        </is>
      </c>
      <c r="J74" t="inlineStr">
        <is>
          <t>NL</t>
        </is>
      </c>
      <c r="K74" t="inlineStr">
        <is>
          <t>NP</t>
        </is>
      </c>
      <c r="L74" t="inlineStr">
        <is>
          <t>NP</t>
        </is>
      </c>
      <c r="M74" t="inlineStr">
        <is>
          <t>NP</t>
        </is>
      </c>
      <c r="N74" t="inlineStr"/>
    </row>
    <row r="75">
      <c r="A75" t="inlineStr">
        <is>
          <t>D13</t>
        </is>
      </c>
      <c r="B75" t="inlineStr">
        <is>
          <t>D. DUAL SYSTEMS WITH SPECIAL MOMENT FRAMES CAPABLE OF RESISTING AT LEAST 25% OF PRESCRIBED SEISMIC FORCES</t>
        </is>
      </c>
      <c r="C75" t="inlineStr">
        <is>
          <t>Steel buckling-restrained braced frames</t>
        </is>
      </c>
      <c r="D75" t="inlineStr"/>
      <c r="E75" t="inlineStr">
        <is>
          <t>14.1</t>
        </is>
      </c>
      <c r="F75" t="n">
        <v>8</v>
      </c>
      <c r="G75" t="n">
        <v>2.5</v>
      </c>
      <c r="H75" t="n">
        <v>5</v>
      </c>
      <c r="I75" t="inlineStr">
        <is>
          <t>NL</t>
        </is>
      </c>
      <c r="J75" t="inlineStr">
        <is>
          <t>NL</t>
        </is>
      </c>
      <c r="K75" t="inlineStr">
        <is>
          <t>NL</t>
        </is>
      </c>
      <c r="L75" t="inlineStr">
        <is>
          <t>NL</t>
        </is>
      </c>
      <c r="M75" t="inlineStr">
        <is>
          <t>NL</t>
        </is>
      </c>
      <c r="N75" t="inlineStr"/>
    </row>
    <row r="76">
      <c r="A76" t="inlineStr">
        <is>
          <t>D14</t>
        </is>
      </c>
      <c r="B76" t="inlineStr">
        <is>
          <t>D. DUAL SYSTEMS WITH SPECIAL MOMENT FRAMES CAPABLE OF RESISTING AT LEAST 25% OF PRESCRIBED SEISMIC FORCES</t>
        </is>
      </c>
      <c r="C76" t="inlineStr">
        <is>
          <t>Steel special plate shear walls</t>
        </is>
      </c>
      <c r="D76" t="inlineStr"/>
      <c r="E76" t="inlineStr">
        <is>
          <t>14.1</t>
        </is>
      </c>
      <c r="F76" t="n">
        <v>8</v>
      </c>
      <c r="G76" t="n">
        <v>2.5</v>
      </c>
      <c r="H76" t="n">
        <v>6.5</v>
      </c>
      <c r="I76" t="inlineStr">
        <is>
          <t>NL</t>
        </is>
      </c>
      <c r="J76" t="inlineStr">
        <is>
          <t>NL</t>
        </is>
      </c>
      <c r="K76" t="inlineStr">
        <is>
          <t>NL</t>
        </is>
      </c>
      <c r="L76" t="inlineStr">
        <is>
          <t>NL</t>
        </is>
      </c>
      <c r="M76" t="inlineStr">
        <is>
          <t>NL</t>
        </is>
      </c>
      <c r="N76" t="inlineStr"/>
    </row>
    <row r="77">
      <c r="A77" t="inlineStr">
        <is>
          <t>D15</t>
        </is>
      </c>
      <c r="B77" t="inlineStr">
        <is>
          <t>D. DUAL SYSTEMS WITH SPECIAL MOMENT FRAMES CAPABLE OF RESISTING AT LEAST 25% OF PRESCRIBED SEISMIC FORCES</t>
        </is>
      </c>
      <c r="C77" t="inlineStr">
        <is>
          <t>Steel and concrete coupled composite plate shear walls</t>
        </is>
      </c>
      <c r="D77" t="inlineStr"/>
      <c r="E77" t="inlineStr">
        <is>
          <t>14.3</t>
        </is>
      </c>
      <c r="F77" t="n">
        <v>8</v>
      </c>
      <c r="G77" t="n">
        <v>2.5</v>
      </c>
      <c r="H77" t="n">
        <v>5.5</v>
      </c>
      <c r="I77" t="inlineStr">
        <is>
          <t>NL</t>
        </is>
      </c>
      <c r="J77" t="inlineStr">
        <is>
          <t>NL</t>
        </is>
      </c>
      <c r="K77" t="inlineStr">
        <is>
          <t>NL</t>
        </is>
      </c>
      <c r="L77" t="inlineStr">
        <is>
          <t>NL</t>
        </is>
      </c>
      <c r="M77" t="inlineStr">
        <is>
          <t>NL</t>
        </is>
      </c>
      <c r="N77" t="inlineStr"/>
    </row>
    <row r="78">
      <c r="A78" t="inlineStr">
        <is>
          <t>E1</t>
        </is>
      </c>
      <c r="B78" t="inlineStr">
        <is>
          <t>E. DUAL SYSTEMS WITH INTERMEDIATE MOMENT FRAMES CAPABLE OF RESISTING AT LEAST 25% OF PRESCRIBED SEISMIC FORCES</t>
        </is>
      </c>
      <c r="C78" t="inlineStr">
        <is>
          <t>Steel special concentrically braced frames</t>
        </is>
      </c>
      <c r="D78" t="inlineStr">
        <is>
          <t>p</t>
        </is>
      </c>
      <c r="E78" t="inlineStr">
        <is>
          <t>14.1</t>
        </is>
      </c>
      <c r="F78" t="n">
        <v>6</v>
      </c>
      <c r="G78" t="n">
        <v>2.5</v>
      </c>
      <c r="H78" t="n">
        <v>5</v>
      </c>
      <c r="I78" t="inlineStr">
        <is>
          <t>NL</t>
        </is>
      </c>
      <c r="J78" t="inlineStr">
        <is>
          <t>NL</t>
        </is>
      </c>
      <c r="K78" t="n">
        <v>35</v>
      </c>
      <c r="L78" t="inlineStr">
        <is>
          <t>NP</t>
        </is>
      </c>
      <c r="M78" t="inlineStr">
        <is>
          <t>NP</t>
        </is>
      </c>
      <c r="N78" t="inlineStr"/>
    </row>
    <row r="79">
      <c r="A79" t="inlineStr">
        <is>
          <t>E2</t>
        </is>
      </c>
      <c r="B79" t="inlineStr">
        <is>
          <t>E. DUAL SYSTEMS WITH INTERMEDIATE MOMENT FRAMES CAPABLE OF RESISTING AT LEAST 25% OF PRESCRIBED SEISMIC FORCES</t>
        </is>
      </c>
      <c r="C79" t="inlineStr">
        <is>
          <t>Special reinforced concrete shear walls</t>
        </is>
      </c>
      <c r="D79" t="inlineStr">
        <is>
          <t>g, h</t>
        </is>
      </c>
      <c r="E79" t="inlineStr">
        <is>
          <t>14.2</t>
        </is>
      </c>
      <c r="F79" t="n">
        <v>6.5</v>
      </c>
      <c r="G79" t="n">
        <v>2.5</v>
      </c>
      <c r="H79" t="n">
        <v>5</v>
      </c>
      <c r="I79" t="inlineStr">
        <is>
          <t>NL</t>
        </is>
      </c>
      <c r="J79" t="inlineStr">
        <is>
          <t>NL</t>
        </is>
      </c>
      <c r="K79" t="n">
        <v>160</v>
      </c>
      <c r="L79" t="n">
        <v>100</v>
      </c>
      <c r="M79" t="n">
        <v>100</v>
      </c>
      <c r="N79" t="inlineStr"/>
    </row>
    <row r="80">
      <c r="A80" t="inlineStr">
        <is>
          <t>E3</t>
        </is>
      </c>
      <c r="B80" t="inlineStr">
        <is>
          <t>E. DUAL SYSTEMS WITH INTERMEDIATE MOMENT FRAMES CAPABLE OF RESISTING AT LEAST 25% OF PRESCRIBED SEISMIC FORCES</t>
        </is>
      </c>
      <c r="C80" t="inlineStr">
        <is>
          <t>Ordinary reinforced masonry shear walls</t>
        </is>
      </c>
      <c r="D80" t="inlineStr"/>
      <c r="E80" t="inlineStr">
        <is>
          <t>14.4</t>
        </is>
      </c>
      <c r="F80" t="n">
        <v>3</v>
      </c>
      <c r="G80" t="n">
        <v>3</v>
      </c>
      <c r="H80" t="n">
        <v>2.5</v>
      </c>
      <c r="I80" t="inlineStr">
        <is>
          <t>NL</t>
        </is>
      </c>
      <c r="J80" t="n">
        <v>160</v>
      </c>
      <c r="K80" t="inlineStr">
        <is>
          <t>NP</t>
        </is>
      </c>
      <c r="L80" t="inlineStr">
        <is>
          <t>NP</t>
        </is>
      </c>
      <c r="M80" t="inlineStr">
        <is>
          <t>NP</t>
        </is>
      </c>
      <c r="N80" t="inlineStr"/>
    </row>
    <row r="81">
      <c r="A81" t="inlineStr">
        <is>
          <t>E4</t>
        </is>
      </c>
      <c r="B81" t="inlineStr">
        <is>
          <t>E. DUAL SYSTEMS WITH INTERMEDIATE MOMENT FRAMES CAPABLE OF RESISTING AT LEAST 25% OF PRESCRIBED SEISMIC FORCES</t>
        </is>
      </c>
      <c r="C81" t="inlineStr">
        <is>
          <t>Intermediate reinforced masonry shear walls</t>
        </is>
      </c>
      <c r="D81" t="inlineStr"/>
      <c r="E81" t="inlineStr">
        <is>
          <t>14.4</t>
        </is>
      </c>
      <c r="F81" t="n">
        <v>3.5</v>
      </c>
      <c r="G81" t="n">
        <v>3</v>
      </c>
      <c r="H81" t="n">
        <v>3</v>
      </c>
      <c r="I81" t="inlineStr">
        <is>
          <t>NL</t>
        </is>
      </c>
      <c r="J81" t="inlineStr">
        <is>
          <t>NL</t>
        </is>
      </c>
      <c r="K81" t="inlineStr">
        <is>
          <t>NP</t>
        </is>
      </c>
      <c r="L81" t="inlineStr">
        <is>
          <t>NP</t>
        </is>
      </c>
      <c r="M81" t="inlineStr">
        <is>
          <t>NP</t>
        </is>
      </c>
      <c r="N81" t="inlineStr"/>
    </row>
    <row r="82">
      <c r="A82" t="inlineStr">
        <is>
          <t>E5</t>
        </is>
      </c>
      <c r="B82" t="inlineStr">
        <is>
          <t>E. DUAL SYSTEMS WITH INTERMEDIATE MOMENT FRAMES CAPABLE OF RESISTING AT LEAST 25% OF PRESCRIBED SEISMIC FORCES</t>
        </is>
      </c>
      <c r="C82" t="inlineStr">
        <is>
          <t>Steel and concrete composite special concentrically braced frames</t>
        </is>
      </c>
      <c r="D82" t="inlineStr"/>
      <c r="E82" t="inlineStr">
        <is>
          <t>14.3</t>
        </is>
      </c>
      <c r="F82" t="n">
        <v>5.5</v>
      </c>
      <c r="G82" t="n">
        <v>2.5</v>
      </c>
      <c r="H82" t="n">
        <v>4.5</v>
      </c>
      <c r="I82" t="inlineStr">
        <is>
          <t>NL</t>
        </is>
      </c>
      <c r="J82" t="inlineStr">
        <is>
          <t>NL</t>
        </is>
      </c>
      <c r="K82" t="n">
        <v>160</v>
      </c>
      <c r="L82" t="n">
        <v>100</v>
      </c>
      <c r="M82" t="inlineStr">
        <is>
          <t>NP</t>
        </is>
      </c>
      <c r="N82" t="inlineStr"/>
    </row>
    <row r="83">
      <c r="A83" t="inlineStr">
        <is>
          <t>E6</t>
        </is>
      </c>
      <c r="B83" t="inlineStr">
        <is>
          <t>E. DUAL SYSTEMS WITH INTERMEDIATE MOMENT FRAMES CAPABLE OF RESISTING AT LEAST 25% OF PRESCRIBED SEISMIC FORCES</t>
        </is>
      </c>
      <c r="C83" t="inlineStr">
        <is>
          <t>Steel and concrete composite ordinary braced frames</t>
        </is>
      </c>
      <c r="D83" t="inlineStr"/>
      <c r="E83" t="inlineStr">
        <is>
          <t>14.3</t>
        </is>
      </c>
      <c r="F83" t="n">
        <v>3.5</v>
      </c>
      <c r="G83" t="n">
        <v>2.5</v>
      </c>
      <c r="H83" t="n">
        <v>3</v>
      </c>
      <c r="I83" t="inlineStr">
        <is>
          <t>NL</t>
        </is>
      </c>
      <c r="J83" t="inlineStr">
        <is>
          <t>NL</t>
        </is>
      </c>
      <c r="K83" t="inlineStr">
        <is>
          <t>NP</t>
        </is>
      </c>
      <c r="L83" t="inlineStr">
        <is>
          <t>NP</t>
        </is>
      </c>
      <c r="M83" t="inlineStr">
        <is>
          <t>NP</t>
        </is>
      </c>
      <c r="N83" t="inlineStr"/>
    </row>
    <row r="84">
      <c r="A84" t="inlineStr">
        <is>
          <t>E7</t>
        </is>
      </c>
      <c r="B84" t="inlineStr">
        <is>
          <t>E. DUAL SYSTEMS WITH INTERMEDIATE MOMENT FRAMES CAPABLE OF RESISTING AT LEAST 25% OF PRESCRIBED SEISMIC FORCES</t>
        </is>
      </c>
      <c r="C84" t="inlineStr">
        <is>
          <t>Steel and concrete composite ordinary shear walls</t>
        </is>
      </c>
      <c r="D84" t="inlineStr"/>
      <c r="E84" t="inlineStr">
        <is>
          <t>14.3</t>
        </is>
      </c>
      <c r="F84" t="n">
        <v>5</v>
      </c>
      <c r="G84" t="n">
        <v>3</v>
      </c>
      <c r="H84" t="n">
        <v>4.5</v>
      </c>
      <c r="I84" t="inlineStr">
        <is>
          <t>NL</t>
        </is>
      </c>
      <c r="J84" t="inlineStr">
        <is>
          <t>NL</t>
        </is>
      </c>
      <c r="K84" t="inlineStr">
        <is>
          <t>NP</t>
        </is>
      </c>
      <c r="L84" t="inlineStr">
        <is>
          <t>NP</t>
        </is>
      </c>
      <c r="M84" t="inlineStr">
        <is>
          <t>NP</t>
        </is>
      </c>
      <c r="N84" t="inlineStr"/>
    </row>
    <row r="85">
      <c r="A85" t="inlineStr">
        <is>
          <t>E8</t>
        </is>
      </c>
      <c r="B85" t="inlineStr">
        <is>
          <t>E. DUAL SYSTEMS WITH INTERMEDIATE MOMENT FRAMES CAPABLE OF RESISTING AT LEAST 25% OF PRESCRIBED SEISMIC FORCES</t>
        </is>
      </c>
      <c r="C85" t="inlineStr">
        <is>
          <t>Ordinary reinforced concrete shear walls</t>
        </is>
      </c>
      <c r="D85" t="inlineStr">
        <is>
          <t>g</t>
        </is>
      </c>
      <c r="E85" t="inlineStr">
        <is>
          <t>14.2</t>
        </is>
      </c>
      <c r="F85" t="n">
        <v>5.5</v>
      </c>
      <c r="G85" t="n">
        <v>2.5</v>
      </c>
      <c r="H85" t="n">
        <v>4.5</v>
      </c>
      <c r="I85" t="inlineStr">
        <is>
          <t>NL</t>
        </is>
      </c>
      <c r="J85" t="inlineStr">
        <is>
          <t>NL</t>
        </is>
      </c>
      <c r="K85" t="inlineStr">
        <is>
          <t>NP</t>
        </is>
      </c>
      <c r="L85" t="inlineStr">
        <is>
          <t>NP</t>
        </is>
      </c>
      <c r="M85" t="inlineStr">
        <is>
          <t>NP</t>
        </is>
      </c>
      <c r="N85" t="inlineStr"/>
    </row>
    <row r="86">
      <c r="A86" t="inlineStr">
        <is>
          <t>F</t>
        </is>
      </c>
      <c r="B86" t="inlineStr">
        <is>
          <t>F. SHEAR WALL-FRAME INTERACTIVE SYSTEM WITH ORDINARY REINFORCED CONCRETE MOMENT FRAMES AND ORDINARY REINFORCED CONCRETE SHEAR WALLS</t>
        </is>
      </c>
      <c r="C86" t="inlineStr">
        <is>
          <t>Shear wall-frame interactive system with ordinary RC moment frames and ordinary RC shear walls</t>
        </is>
      </c>
      <c r="D86" t="inlineStr">
        <is>
          <t>g</t>
        </is>
      </c>
      <c r="E86" t="inlineStr">
        <is>
          <t>12.2.5.8 and 14.2</t>
        </is>
      </c>
      <c r="F86" t="n">
        <v>4.5</v>
      </c>
      <c r="G86" t="n">
        <v>2.5</v>
      </c>
      <c r="H86" t="n">
        <v>4</v>
      </c>
      <c r="I86" t="inlineStr">
        <is>
          <t>NL</t>
        </is>
      </c>
      <c r="J86" t="inlineStr">
        <is>
          <t>NP</t>
        </is>
      </c>
      <c r="K86" t="inlineStr">
        <is>
          <t>NP</t>
        </is>
      </c>
      <c r="L86" t="inlineStr">
        <is>
          <t>NP</t>
        </is>
      </c>
      <c r="M86" t="inlineStr">
        <is>
          <t>NP</t>
        </is>
      </c>
      <c r="N86" t="inlineStr"/>
    </row>
    <row r="87">
      <c r="A87" t="inlineStr">
        <is>
          <t>G1</t>
        </is>
      </c>
      <c r="B87" t="inlineStr">
        <is>
          <t>G. CANTILEVERED COLUMN SYSTEMS DETAILED TO CONFORM TO THE REQUIREMENTS FOR:</t>
        </is>
      </c>
      <c r="C87" t="inlineStr">
        <is>
          <t>Steel special cantilever column systems</t>
        </is>
      </c>
      <c r="D87" t="inlineStr"/>
      <c r="E87" t="inlineStr">
        <is>
          <t>14.1</t>
        </is>
      </c>
      <c r="F87" t="n">
        <v>2.5</v>
      </c>
      <c r="G87" t="n">
        <v>2.5</v>
      </c>
      <c r="H87" t="n">
        <v>2.5</v>
      </c>
      <c r="I87" t="n">
        <v>35</v>
      </c>
      <c r="J87" t="n">
        <v>35</v>
      </c>
      <c r="K87" t="n">
        <v>35</v>
      </c>
      <c r="L87" t="n">
        <v>35</v>
      </c>
      <c r="M87" t="n">
        <v>35</v>
      </c>
      <c r="N87" t="inlineStr"/>
    </row>
    <row r="88">
      <c r="A88" t="inlineStr">
        <is>
          <t>G2</t>
        </is>
      </c>
      <c r="B88" t="inlineStr">
        <is>
          <t>G. CANTILEVERED COLUMN SYSTEMS DETAILED TO CONFORM TO THE REQUIREMENTS FOR:</t>
        </is>
      </c>
      <c r="C88" t="inlineStr">
        <is>
          <t>Steel ordinary cantilever column systems</t>
        </is>
      </c>
      <c r="D88" t="inlineStr"/>
      <c r="E88" t="inlineStr">
        <is>
          <t>14.1</t>
        </is>
      </c>
      <c r="F88" t="n">
        <v>1.25</v>
      </c>
      <c r="G88" t="n">
        <v>1.25</v>
      </c>
      <c r="H88" t="n">
        <v>1.25</v>
      </c>
      <c r="I88" t="n">
        <v>35</v>
      </c>
      <c r="J88" t="n">
        <v>35</v>
      </c>
      <c r="K88" t="inlineStr">
        <is>
          <t>NP</t>
        </is>
      </c>
      <c r="L88" t="inlineStr">
        <is>
          <t>NP</t>
        </is>
      </c>
      <c r="M88" t="inlineStr">
        <is>
          <t>NP</t>
        </is>
      </c>
      <c r="N88" t="inlineStr">
        <is>
          <t>D, E, F: errata mark in source (Errata 1)</t>
        </is>
      </c>
    </row>
    <row r="89">
      <c r="A89" t="inlineStr">
        <is>
          <t>G3</t>
        </is>
      </c>
      <c r="B89" t="inlineStr">
        <is>
          <t>G. CANTILEVERED COLUMN SYSTEMS DETAILED TO CONFORM TO THE REQUIREMENTS FOR:</t>
        </is>
      </c>
      <c r="C89" t="inlineStr">
        <is>
          <t>Special reinforced concrete moment frames</t>
        </is>
      </c>
      <c r="D89" t="inlineStr">
        <is>
          <t>m</t>
        </is>
      </c>
      <c r="E89" t="inlineStr">
        <is>
          <t>12.2.5.5 and 14.2</t>
        </is>
      </c>
      <c r="F89" t="n">
        <v>2.5</v>
      </c>
      <c r="G89" t="n">
        <v>2.5</v>
      </c>
      <c r="H89" t="n">
        <v>2.5</v>
      </c>
      <c r="I89" t="n">
        <v>35</v>
      </c>
      <c r="J89" t="n">
        <v>35</v>
      </c>
      <c r="K89" t="n">
        <v>35</v>
      </c>
      <c r="L89" t="n">
        <v>35</v>
      </c>
      <c r="M89" t="n">
        <v>35</v>
      </c>
      <c r="N89" t="inlineStr"/>
    </row>
    <row r="90">
      <c r="A90" t="inlineStr">
        <is>
          <t>G4</t>
        </is>
      </c>
      <c r="B90" t="inlineStr">
        <is>
          <t>G. CANTILEVERED COLUMN SYSTEMS DETAILED TO CONFORM TO THE REQUIREMENTS FOR:</t>
        </is>
      </c>
      <c r="C90" t="inlineStr">
        <is>
          <t>Intermediate reinforced concrete moment frames</t>
        </is>
      </c>
      <c r="D90" t="inlineStr"/>
      <c r="E90" t="inlineStr">
        <is>
          <t>14.2</t>
        </is>
      </c>
      <c r="F90" t="n">
        <v>1.5</v>
      </c>
      <c r="G90" t="n">
        <v>1.5</v>
      </c>
      <c r="H90" t="n">
        <v>1.5</v>
      </c>
      <c r="I90" t="n">
        <v>35</v>
      </c>
      <c r="J90" t="n">
        <v>35</v>
      </c>
      <c r="K90" t="inlineStr">
        <is>
          <t>NP</t>
        </is>
      </c>
      <c r="L90" t="inlineStr">
        <is>
          <t>NP</t>
        </is>
      </c>
      <c r="M90" t="inlineStr">
        <is>
          <t>NP</t>
        </is>
      </c>
      <c r="N90" t="inlineStr"/>
    </row>
    <row r="91">
      <c r="A91" t="inlineStr">
        <is>
          <t>G5</t>
        </is>
      </c>
      <c r="B91" t="inlineStr">
        <is>
          <t>G. CANTILEVERED COLUMN SYSTEMS DETAILED TO CONFORM TO THE REQUIREMENTS FOR:</t>
        </is>
      </c>
      <c r="C91" t="inlineStr">
        <is>
          <t>Ordinary reinforced concrete moment frames</t>
        </is>
      </c>
      <c r="D91" t="inlineStr"/>
      <c r="E91" t="inlineStr">
        <is>
          <t>14.2</t>
        </is>
      </c>
      <c r="F91" t="n">
        <v>1</v>
      </c>
      <c r="G91" t="n">
        <v>1.25</v>
      </c>
      <c r="H91" t="n">
        <v>1</v>
      </c>
      <c r="I91" t="n">
        <v>35</v>
      </c>
      <c r="J91" t="inlineStr">
        <is>
          <t>NP</t>
        </is>
      </c>
      <c r="K91" t="inlineStr">
        <is>
          <t>NP</t>
        </is>
      </c>
      <c r="L91" t="inlineStr">
        <is>
          <t>NP</t>
        </is>
      </c>
      <c r="M91" t="inlineStr">
        <is>
          <t>NP</t>
        </is>
      </c>
      <c r="N91" t="inlineStr"/>
    </row>
    <row r="92">
      <c r="A92" t="inlineStr">
        <is>
          <t>G6</t>
        </is>
      </c>
      <c r="B92" t="inlineStr">
        <is>
          <t>G. CANTILEVERED COLUMN SYSTEMS DETAILED TO CONFORM TO THE REQUIREMENTS FOR:</t>
        </is>
      </c>
      <c r="C92" t="inlineStr">
        <is>
          <t>Timber frames</t>
        </is>
      </c>
      <c r="D92" t="inlineStr"/>
      <c r="E92" t="inlineStr">
        <is>
          <t>14.5</t>
        </is>
      </c>
      <c r="F92" t="n">
        <v>1.5</v>
      </c>
      <c r="G92" t="n">
        <v>1.5</v>
      </c>
      <c r="H92" t="n">
        <v>1.5</v>
      </c>
      <c r="I92" t="n">
        <v>35</v>
      </c>
      <c r="J92" t="n">
        <v>35</v>
      </c>
      <c r="K92" t="n">
        <v>35</v>
      </c>
      <c r="L92" t="inlineStr">
        <is>
          <t>NP</t>
        </is>
      </c>
      <c r="M92" t="inlineStr">
        <is>
          <t>NP</t>
        </is>
      </c>
      <c r="N92" t="inlineStr"/>
    </row>
    <row r="93">
      <c r="A93" t="inlineStr">
        <is>
          <t>H</t>
        </is>
      </c>
      <c r="B93" t="inlineStr">
        <is>
          <t>H. STEEL SYSTEMS NOT SPECIFICALLY DETAILED FOR SEISMIC RESISTANCE, EXCLUDING CANTILEVER COLUMN SYSTEMS</t>
        </is>
      </c>
      <c r="C93" t="inlineStr">
        <is>
          <t>Steel systems not specifically detailed for seismic resistance, excluding cantilever column systems</t>
        </is>
      </c>
      <c r="D93" t="inlineStr"/>
      <c r="E93" t="inlineStr">
        <is>
          <t>14.1</t>
        </is>
      </c>
      <c r="F93" t="n">
        <v>3</v>
      </c>
      <c r="G93" t="n">
        <v>3</v>
      </c>
      <c r="H93" t="n">
        <v>3</v>
      </c>
      <c r="I93" t="inlineStr">
        <is>
          <t>NL</t>
        </is>
      </c>
      <c r="J93" t="inlineStr">
        <is>
          <t>NL</t>
        </is>
      </c>
      <c r="K93" t="inlineStr">
        <is>
          <t>NP</t>
        </is>
      </c>
      <c r="L93" t="inlineStr">
        <is>
          <t>NP</t>
        </is>
      </c>
      <c r="M93" t="inlineStr">
        <is>
          <t>NP</t>
        </is>
      </c>
      <c r="N93" t="inlineStr"/>
    </row>
    <row r="95">
      <c r="A95" s="16" t="inlineStr">
        <is>
          <t>Source: ASCE/SEI 7-22 Table 12.2-1, from ASCE7-22_Seismic_Tables.xlsx (SHA-256 51bba739fb04c797...). Reported complete by B&amp;P team; record reviewer/date in the workbook Verification Log.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ASCE 7-22 LOOKUP TABLES (PRELIMINARY)</t>
        </is>
      </c>
    </row>
    <row r="2"/>
    <row r="4">
      <c r="A4" s="17" t="inlineStr">
        <is>
          <t>Table 1.5-2 - Risk Category</t>
        </is>
      </c>
      <c r="B4" s="17" t="inlineStr">
        <is>
          <t>Ie</t>
        </is>
      </c>
    </row>
    <row r="5">
      <c r="A5" t="inlineStr">
        <is>
          <t>I</t>
        </is>
      </c>
      <c r="B5" t="n">
        <v>1</v>
      </c>
    </row>
    <row r="6">
      <c r="A6" t="inlineStr">
        <is>
          <t>II</t>
        </is>
      </c>
      <c r="B6" t="n">
        <v>1</v>
      </c>
    </row>
    <row r="7">
      <c r="A7" t="inlineStr">
        <is>
          <t>III</t>
        </is>
      </c>
      <c r="B7" t="n">
        <v>1.25</v>
      </c>
    </row>
    <row r="8">
      <c r="A8" t="inlineStr">
        <is>
          <t>IV</t>
        </is>
      </c>
      <c r="B8" t="n">
        <v>1.5</v>
      </c>
    </row>
    <row r="10">
      <c r="A10" s="17" t="inlineStr">
        <is>
          <t>Table 12.8-2 - type key</t>
        </is>
      </c>
      <c r="B10" s="17" t="inlineStr">
        <is>
          <t>Description</t>
        </is>
      </c>
      <c r="C10" s="17" t="inlineStr">
        <is>
          <t>Ct</t>
        </is>
      </c>
      <c r="D10" s="17" t="inlineStr">
        <is>
          <t>x</t>
        </is>
      </c>
    </row>
    <row r="11">
      <c r="A11" t="inlineStr">
        <is>
          <t>steel_mf</t>
        </is>
      </c>
      <c r="B11" t="inlineStr">
        <is>
          <t>Steel moment-resisting frames</t>
        </is>
      </c>
      <c r="C11" t="n">
        <v>0.028</v>
      </c>
      <c r="D11" t="n">
        <v>0.8</v>
      </c>
    </row>
    <row r="12">
      <c r="A12" t="inlineStr">
        <is>
          <t>concrete_mf</t>
        </is>
      </c>
      <c r="B12" t="inlineStr">
        <is>
          <t>Concrete moment-resisting frames</t>
        </is>
      </c>
      <c r="C12" t="n">
        <v>0.016</v>
      </c>
      <c r="D12" t="n">
        <v>0.9</v>
      </c>
    </row>
    <row r="13">
      <c r="A13" t="inlineStr">
        <is>
          <t>steel_ebf</t>
        </is>
      </c>
      <c r="B13" t="inlineStr">
        <is>
          <t>Steel eccentrically braced frames (B1/D1)</t>
        </is>
      </c>
      <c r="C13" t="n">
        <v>0.03</v>
      </c>
      <c r="D13" t="n">
        <v>0.75</v>
      </c>
    </row>
    <row r="14">
      <c r="A14" t="inlineStr">
        <is>
          <t>steel_brbf</t>
        </is>
      </c>
      <c r="B14" t="inlineStr">
        <is>
          <t>Steel buckling-restrained braced frames (B26/D13)</t>
        </is>
      </c>
      <c r="C14" t="n">
        <v>0.03</v>
      </c>
      <c r="D14" t="n">
        <v>0.75</v>
      </c>
    </row>
    <row r="15">
      <c r="A15" t="inlineStr">
        <is>
          <t>all_other</t>
        </is>
      </c>
      <c r="B15" t="inlineStr">
        <is>
          <t>All other structural systems</t>
        </is>
      </c>
      <c r="C15" t="n">
        <v>0.02</v>
      </c>
      <c r="D15" t="n">
        <v>0.75</v>
      </c>
    </row>
    <row r="17">
      <c r="A17" t="inlineStr">
        <is>
          <t>Section 12.8.1.3 max SDS for Cs</t>
        </is>
      </c>
      <c r="B17" t="n">
        <v>1</v>
      </c>
    </row>
    <row r="18">
      <c r="A18" t="inlineStr">
        <is>
          <t>Cap value verified against ASCE 7-22?</t>
        </is>
      </c>
      <c r="B18" s="14" t="inlineStr">
        <is>
          <t>NO - VERIFY</t>
        </is>
      </c>
    </row>
    <row r="21">
      <c r="A21" s="17" t="inlineStr">
        <is>
          <t>Table 12.8-1 - SD1 (g)</t>
        </is>
      </c>
      <c r="B21" s="17" t="inlineStr">
        <is>
          <t>Cu</t>
        </is>
      </c>
    </row>
    <row r="22">
      <c r="A22" t="n">
        <v>0.4</v>
      </c>
      <c r="B22" t="n">
        <v>1.4</v>
      </c>
    </row>
    <row r="23">
      <c r="A23" t="n">
        <v>0.3</v>
      </c>
      <c r="B23" t="n">
        <v>1.4</v>
      </c>
    </row>
    <row r="24">
      <c r="A24" t="n">
        <v>0.2</v>
      </c>
      <c r="B24" t="n">
        <v>1.5</v>
      </c>
    </row>
    <row r="25">
      <c r="A25" t="n">
        <v>0.15</v>
      </c>
      <c r="B25" t="n">
        <v>1.6</v>
      </c>
    </row>
    <row r="26">
      <c r="A26" t="n">
        <v>0.1</v>
      </c>
      <c r="B26" t="n">
        <v>1.7</v>
      </c>
    </row>
    <row r="27">
      <c r="A27" t="inlineStr">
        <is>
          <t>Cu is linearly interpolated between rows; constant beyond the end rows.</t>
        </is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2026-10-27T21:18:38Z</dcterms:created>
  <dcterms:modified xmlns:dcterms="http://purl.org/dc/terms/" xmlns:xsi="http://www.w3.org/2001/XMLSchema-instance" xsi:type="dcterms:W3CDTF">2026-10-27T21:18:38Z</dcterms:modified>
</cp:coreProperties>
</file>